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80ee16f2bc6fd9/Desktop/phd/quantum robotics/quantum_computing/"/>
    </mc:Choice>
  </mc:AlternateContent>
  <xr:revisionPtr revIDLastSave="5872" documentId="11_305640A6E97B1FDC0BA521386BF6B93579DA2779" xr6:coauthVersionLast="47" xr6:coauthVersionMax="47" xr10:uidLastSave="{6F74371C-2DA1-41F9-8BDB-BADAC3D07A4B}"/>
  <bookViews>
    <workbookView xWindow="-110" yWindow="-110" windowWidth="25820" windowHeight="15500" tabRatio="997" activeTab="3" xr2:uid="{00000000-000D-0000-FFFF-FFFF00000000}"/>
  </bookViews>
  <sheets>
    <sheet name="Survey Outline" sheetId="3" r:id="rId1"/>
    <sheet name="Survey 2 Outline" sheetId="9" r:id="rId2"/>
    <sheet name=" Survey 3 Outline" sheetId="6" r:id="rId3"/>
    <sheet name="journel and conference list" sheetId="16" r:id="rId4"/>
    <sheet name="Paper References" sheetId="15" r:id="rId5"/>
    <sheet name="quantum_computing_Papers" sheetId="1" r:id="rId6"/>
    <sheet name="llm" sheetId="4" r:id="rId7"/>
    <sheet name="Survey 1 Papers" sheetId="13" r:id="rId8"/>
    <sheet name="Survey 2 Papers" sheetId="14" r:id="rId9"/>
    <sheet name="Survey 3 Papers" sheetId="20" r:id="rId10"/>
    <sheet name="Coverage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5" i="14" l="1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U167" i="14"/>
  <c r="U168" i="14"/>
  <c r="U169" i="14"/>
  <c r="U170" i="14"/>
  <c r="U171" i="14"/>
  <c r="U172" i="14"/>
  <c r="U173" i="14"/>
  <c r="U174" i="14"/>
  <c r="U175" i="14"/>
  <c r="U176" i="14"/>
  <c r="U177" i="14"/>
  <c r="U104" i="14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13" i="13"/>
  <c r="L5" i="16"/>
  <c r="M5" i="16"/>
  <c r="N5" i="16"/>
  <c r="L6" i="16"/>
  <c r="M6" i="16"/>
  <c r="N6" i="16"/>
  <c r="L7" i="16"/>
  <c r="M7" i="16"/>
  <c r="N7" i="16"/>
  <c r="L8" i="16"/>
  <c r="M8" i="16"/>
  <c r="N8" i="16"/>
  <c r="L9" i="16"/>
  <c r="M9" i="16"/>
  <c r="N9" i="16"/>
  <c r="L10" i="16"/>
  <c r="M10" i="16"/>
  <c r="N10" i="16"/>
  <c r="L11" i="16"/>
  <c r="M11" i="16"/>
  <c r="N11" i="16"/>
  <c r="L12" i="16"/>
  <c r="M12" i="16"/>
  <c r="N12" i="16"/>
  <c r="L13" i="16"/>
  <c r="M13" i="16"/>
  <c r="N13" i="16"/>
  <c r="L14" i="16"/>
  <c r="M14" i="16"/>
  <c r="N14" i="16"/>
  <c r="L15" i="16"/>
  <c r="M15" i="16"/>
  <c r="N15" i="16"/>
  <c r="L16" i="16"/>
  <c r="M16" i="16"/>
  <c r="N16" i="16"/>
  <c r="L17" i="16"/>
  <c r="M17" i="16"/>
  <c r="N17" i="16"/>
  <c r="L18" i="16"/>
  <c r="M18" i="16"/>
  <c r="N18" i="16"/>
  <c r="L19" i="16"/>
  <c r="M19" i="16"/>
  <c r="N19" i="16"/>
  <c r="L20" i="16"/>
  <c r="M20" i="16"/>
  <c r="N20" i="16"/>
  <c r="L21" i="16"/>
  <c r="M21" i="16"/>
  <c r="N21" i="16"/>
  <c r="L22" i="16"/>
  <c r="M22" i="16"/>
  <c r="N22" i="16"/>
  <c r="L23" i="16"/>
  <c r="M23" i="16"/>
  <c r="N23" i="16"/>
  <c r="L24" i="16"/>
  <c r="M24" i="16"/>
  <c r="N24" i="16"/>
  <c r="L25" i="16"/>
  <c r="M25" i="16"/>
  <c r="N25" i="16"/>
  <c r="L26" i="16"/>
  <c r="M26" i="16"/>
  <c r="N26" i="16"/>
  <c r="L27" i="16"/>
  <c r="M27" i="16"/>
  <c r="N27" i="16"/>
  <c r="L28" i="16"/>
  <c r="M28" i="16"/>
  <c r="N28" i="16"/>
  <c r="L29" i="16"/>
  <c r="M29" i="16"/>
  <c r="N29" i="16"/>
  <c r="L30" i="16"/>
  <c r="M30" i="16"/>
  <c r="N30" i="16"/>
  <c r="L31" i="16"/>
  <c r="M31" i="16"/>
  <c r="N31" i="16"/>
  <c r="L32" i="16"/>
  <c r="M32" i="16"/>
  <c r="N32" i="16"/>
  <c r="L33" i="16"/>
  <c r="M33" i="16"/>
  <c r="N33" i="16"/>
  <c r="L34" i="16"/>
  <c r="M34" i="16"/>
  <c r="N34" i="16"/>
  <c r="L35" i="16"/>
  <c r="M35" i="16"/>
  <c r="N35" i="16"/>
  <c r="L36" i="16"/>
  <c r="M36" i="16"/>
  <c r="N36" i="16"/>
  <c r="L37" i="16"/>
  <c r="M37" i="16"/>
  <c r="N37" i="16"/>
  <c r="K7" i="19"/>
  <c r="L7" i="19"/>
  <c r="M7" i="19" a="1"/>
  <c r="N7" i="19" s="1"/>
  <c r="K8" i="19"/>
  <c r="L8" i="19"/>
  <c r="M8" i="19" a="1"/>
  <c r="N8" i="19" s="1"/>
  <c r="K9" i="19"/>
  <c r="L9" i="19"/>
  <c r="M9" i="19" a="1"/>
  <c r="N9" i="19" s="1"/>
  <c r="K10" i="19"/>
  <c r="L10" i="19"/>
  <c r="M10" i="19" a="1"/>
  <c r="N10" i="19" s="1"/>
  <c r="K11" i="19"/>
  <c r="L11" i="19"/>
  <c r="M11" i="19" a="1"/>
  <c r="N11" i="19" s="1"/>
  <c r="K12" i="19"/>
  <c r="L12" i="19"/>
  <c r="M12" i="19" a="1"/>
  <c r="N12" i="19" s="1"/>
  <c r="K13" i="19"/>
  <c r="M13" i="19" s="1" a="1"/>
  <c r="N13" i="19" s="1"/>
  <c r="L13" i="19"/>
  <c r="K14" i="19"/>
  <c r="L14" i="19"/>
  <c r="M14" i="19" a="1"/>
  <c r="N14" i="19" s="1"/>
  <c r="K15" i="19"/>
  <c r="L15" i="19"/>
  <c r="M15" i="19" a="1"/>
  <c r="N15" i="19" s="1"/>
  <c r="K16" i="19"/>
  <c r="L16" i="19"/>
  <c r="M16" i="19" a="1"/>
  <c r="N16" i="19" s="1"/>
  <c r="K17" i="19"/>
  <c r="L17" i="19"/>
  <c r="M17" i="19" a="1"/>
  <c r="N17" i="19" s="1"/>
  <c r="K18" i="19"/>
  <c r="L18" i="19"/>
  <c r="M18" i="19" a="1"/>
  <c r="N18" i="19" s="1"/>
  <c r="K19" i="19"/>
  <c r="L19" i="19"/>
  <c r="M19" i="19" a="1"/>
  <c r="N19" i="19" s="1"/>
  <c r="K20" i="19"/>
  <c r="L20" i="19"/>
  <c r="M20" i="19" a="1"/>
  <c r="N20" i="19"/>
  <c r="K21" i="19"/>
  <c r="L21" i="19"/>
  <c r="M21" i="19" a="1"/>
  <c r="N21" i="19" s="1"/>
  <c r="Y3" i="20" a="1"/>
  <c r="Y4" i="20" a="1"/>
  <c r="Y5" i="20" a="1"/>
  <c r="Y6" i="20" a="1"/>
  <c r="Y7" i="20" a="1"/>
  <c r="Y8" i="20" a="1"/>
  <c r="Y9" i="20" a="1"/>
  <c r="Y10" i="20" a="1"/>
  <c r="Y11" i="20" a="1"/>
  <c r="Y12" i="20" a="1"/>
  <c r="Y13" i="20" a="1"/>
  <c r="Y14" i="20" a="1"/>
  <c r="Y15" i="20" a="1"/>
  <c r="Y16" i="20" a="1"/>
  <c r="Y2" i="20" a="1"/>
  <c r="S68" i="20"/>
  <c r="S66" i="20"/>
  <c r="S65" i="20"/>
  <c r="S58" i="20"/>
  <c r="S57" i="20"/>
  <c r="S53" i="20"/>
  <c r="S50" i="20"/>
  <c r="S48" i="20"/>
  <c r="S39" i="20"/>
  <c r="S38" i="20"/>
  <c r="U109" i="20"/>
  <c r="U108" i="20"/>
  <c r="U107" i="20"/>
  <c r="U106" i="20"/>
  <c r="U105" i="20"/>
  <c r="U104" i="20"/>
  <c r="U103" i="20"/>
  <c r="S109" i="20"/>
  <c r="S108" i="20"/>
  <c r="S107" i="20"/>
  <c r="S106" i="20"/>
  <c r="S105" i="20"/>
  <c r="S104" i="20"/>
  <c r="S103" i="20"/>
  <c r="W3" i="20"/>
  <c r="X3" i="20"/>
  <c r="W4" i="20"/>
  <c r="X4" i="20"/>
  <c r="W5" i="20"/>
  <c r="X5" i="20"/>
  <c r="W6" i="20"/>
  <c r="X6" i="20"/>
  <c r="W7" i="20"/>
  <c r="X7" i="20"/>
  <c r="W8" i="20"/>
  <c r="X8" i="20"/>
  <c r="W9" i="20"/>
  <c r="X9" i="20"/>
  <c r="W10" i="20"/>
  <c r="X10" i="20"/>
  <c r="W11" i="20"/>
  <c r="X11" i="20"/>
  <c r="W12" i="20"/>
  <c r="X12" i="20"/>
  <c r="W13" i="20"/>
  <c r="X13" i="20"/>
  <c r="W14" i="20"/>
  <c r="X14" i="20"/>
  <c r="W15" i="20"/>
  <c r="X15" i="20"/>
  <c r="W16" i="20"/>
  <c r="X16" i="20"/>
  <c r="X2" i="20"/>
  <c r="W2" i="20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S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40" i="20"/>
  <c r="S41" i="20"/>
  <c r="S42" i="20"/>
  <c r="S43" i="20"/>
  <c r="S44" i="20"/>
  <c r="S45" i="20"/>
  <c r="S46" i="20"/>
  <c r="S47" i="20"/>
  <c r="S49" i="20"/>
  <c r="S51" i="20"/>
  <c r="S52" i="20"/>
  <c r="S54" i="20"/>
  <c r="S55" i="20"/>
  <c r="S56" i="20"/>
  <c r="S59" i="20"/>
  <c r="S60" i="20"/>
  <c r="S61" i="20"/>
  <c r="S62" i="20"/>
  <c r="S63" i="20"/>
  <c r="S64" i="20"/>
  <c r="S67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U2" i="20"/>
  <c r="S2" i="20"/>
  <c r="H8" i="19" a="1"/>
  <c r="I8" i="19" s="1"/>
  <c r="H9" i="19" a="1"/>
  <c r="I9" i="19" s="1"/>
  <c r="H10" i="19" a="1"/>
  <c r="I10" i="19" s="1"/>
  <c r="H11" i="19" a="1"/>
  <c r="I11" i="19" s="1"/>
  <c r="H12" i="19" a="1"/>
  <c r="I12" i="19" s="1"/>
  <c r="H13" i="19" a="1"/>
  <c r="I13" i="19" s="1"/>
  <c r="H14" i="19" a="1"/>
  <c r="I14" i="19" s="1"/>
  <c r="H15" i="19" a="1"/>
  <c r="I15" i="19" s="1"/>
  <c r="H16" i="19" a="1"/>
  <c r="I16" i="19" s="1"/>
  <c r="H17" i="19" a="1"/>
  <c r="I17" i="19" s="1"/>
  <c r="H18" i="19" a="1"/>
  <c r="I18" i="19" s="1"/>
  <c r="H19" i="19" a="1"/>
  <c r="I19" i="19" s="1"/>
  <c r="H20" i="19" a="1"/>
  <c r="I20" i="19" s="1"/>
  <c r="H21" i="19" a="1"/>
  <c r="I21" i="19" s="1"/>
  <c r="H22" i="19" a="1"/>
  <c r="I22" i="19" s="1"/>
  <c r="H23" i="19" a="1"/>
  <c r="I23" i="19" s="1"/>
  <c r="H24" i="19" a="1"/>
  <c r="I24" i="19" s="1"/>
  <c r="H25" i="19" a="1"/>
  <c r="I25" i="19" s="1"/>
  <c r="H26" i="19" a="1"/>
  <c r="I26" i="19" s="1"/>
  <c r="H27" i="19" a="1"/>
  <c r="I27" i="19" s="1"/>
  <c r="H28" i="19" a="1"/>
  <c r="I28" i="19" s="1"/>
  <c r="H29" i="19" a="1"/>
  <c r="I29" i="19" s="1"/>
  <c r="H30" i="19" a="1"/>
  <c r="I30" i="19" s="1"/>
  <c r="H31" i="19" a="1"/>
  <c r="I31" i="19" s="1"/>
  <c r="C8" i="19" a="1"/>
  <c r="D8" i="19" s="1"/>
  <c r="C9" i="19" a="1"/>
  <c r="D9" i="19" s="1"/>
  <c r="C10" i="19" a="1"/>
  <c r="D10" i="19" s="1"/>
  <c r="C11" i="19" a="1"/>
  <c r="D11" i="19" s="1"/>
  <c r="C12" i="19" a="1"/>
  <c r="D12" i="19" s="1"/>
  <c r="C13" i="19" a="1"/>
  <c r="D13" i="19" s="1"/>
  <c r="C14" i="19" a="1"/>
  <c r="D14" i="19" s="1"/>
  <c r="C15" i="19" a="1"/>
  <c r="D15" i="19" s="1"/>
  <c r="C16" i="19" a="1"/>
  <c r="D16" i="19" s="1"/>
  <c r="C17" i="19" a="1"/>
  <c r="D17" i="19" s="1"/>
  <c r="C18" i="19" a="1"/>
  <c r="D18" i="19" s="1"/>
  <c r="C19" i="19" a="1"/>
  <c r="D19" i="19" s="1"/>
  <c r="C20" i="19" a="1"/>
  <c r="D20" i="19" s="1"/>
  <c r="C21" i="19" a="1"/>
  <c r="D21" i="19" s="1"/>
  <c r="C22" i="19" a="1"/>
  <c r="D22" i="19" s="1"/>
  <c r="H7" i="19" a="1"/>
  <c r="I7" i="19" s="1"/>
  <c r="C7" i="19" a="1"/>
  <c r="D7" i="19" s="1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U2" i="14"/>
  <c r="W2" i="13"/>
  <c r="H32" i="19" l="1"/>
  <c r="M22" i="19"/>
  <c r="C23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tc={05089205-B259-495C-AD9C-CFF56AFCDEBC}</author>
  </authors>
  <commentList>
    <comment ref="A1" authorId="0" shapeId="0" xr:uid="{05089205-B259-495C-AD9C-CFF56AFCDEB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references.csv shared by the Word manuscript agent (Quantum_Robotics_Magazine_WITH_CITATIONS.docx), 62 refs. Manuscript bibliography; not run by Claude. Full details on Data Sources tab. Added Mon Sep 14 2026 22:13:35 GMT+0530 (India Standard Time)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yeshwanth guru</author>
  </authors>
  <commentList>
    <comment ref="D41" authorId="0" shapeId="0" xr:uid="{8E75F900-2911-4CA8-BF47-63E9A63B919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DOI 10.1017/CBO9780511997716. 2nd ed. 2024. Verified via web search 2026-09-05.</t>
        </r>
      </text>
    </comment>
    <comment ref="D42" authorId="0" shapeId="0" xr:uid="{071C43FE-0221-467B-A2D8-E53AC54B179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Behavioral and Brain Sciences 36(3):255-274; DOI 10.1017/S0140525X12001525. Verified via web search 2026-09-05.</t>
        </r>
      </text>
    </comment>
    <comment ref="D43" authorId="0" shapeId="0" xr:uid="{CA4DFEA4-5F58-4060-A07A-DB62EA134B8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Annual Review of Psychology 73:749-778. Verified via web search 2026-09-05.</t>
        </r>
      </text>
    </comment>
    <comment ref="D44" authorId="0" shapeId="0" xr:uid="{A448BB11-3E62-4C80-A6A1-40B55731CC44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Trends in Cognitive Sciences 19(7):383-393. Verified via web search 2026-09-05.</t>
        </r>
      </text>
    </comment>
    <comment ref="D45" authorId="0" shapeId="0" xr:uid="{EA09D2B4-B5BE-404F-ACE8-CD27AB692A5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Psychological Review 118(2):193-218. Verified via web search 2026-09-05.</t>
        </r>
      </text>
    </comment>
    <comment ref="D46" authorId="0" shapeId="0" xr:uid="{58C3CAA0-92E9-4613-BAD0-E349A644C98F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Topics in Cognitive Science 5(4):672-688. Verified via web search 2026-09-05.</t>
        </r>
      </text>
    </comment>
    <comment ref="D47" authorId="0" shapeId="0" xr:uid="{22BCFD2C-235B-4090-A052-E74F75378AB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Journal of Mathematical Psychology 53(5):314-348. Verified via web search 2026-09-05.</t>
        </r>
      </text>
    </comment>
    <comment ref="D48" authorId="0" shapeId="0" xr:uid="{B9941F9D-3024-4F4D-9B04-3BA209F9BFAB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Springer, Berlin. Verified via web search 2026-09-05.</t>
        </r>
      </text>
    </comment>
    <comment ref="D49" authorId="0" shapeId="0" xr:uid="{D9202BAF-9D73-4E38-8511-D431A8207EE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Machine Intelligence 6(2):86. Verified via web search 2026-09-05.</t>
        </r>
      </text>
    </comment>
    <comment ref="D50" authorId="0" shapeId="0" xr:uid="{3ECF6177-06E2-4099-91F3-E7101178245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Entropy 25(4):548. Verified via web search 2026-09-05.</t>
        </r>
      </text>
    </comment>
    <comment ref="D51" authorId="0" shapeId="0" xr:uid="{9715F068-04FC-4FD9-ABB4-67C9C537872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Electronics 10(2):100. Verified via web search 2026-09-05.</t>
        </r>
      </text>
    </comment>
    <comment ref="D52" authorId="0" shapeId="0" xr:uid="{F33DCB4C-EEF6-455E-910D-C2CBE324A7D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Adjunct Proc. 33rd ACM Conf. on User Modeling, Adaptation and Personalization (UMAP 2025); DOI 10.1145/3708319.3735545. Verified via web search 2026-09-05.</t>
        </r>
      </text>
    </comment>
    <comment ref="D53" authorId="0" shapeId="0" xr:uid="{3AD241E0-8AE4-4B52-9CB8-A24B9C042D9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Computers, Materials &amp; Continua; DOI 10.32604/cmc.2025.065572. Author list to confirm at source. Verified via web search 2026-09-05.</t>
        </r>
      </text>
    </comment>
    <comment ref="D54" authorId="0" shapeId="0" xr:uid="{73EB65D2-EA3B-4B5F-9BD6-AD12B7B8483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PhD Thesis, Universidade de Lisboa. Verified via web search 2026-09-05.</t>
        </r>
      </text>
    </comment>
    <comment ref="D55" authorId="0" shapeId="0" xr:uid="{068B46D6-3931-4C6E-B85C-63290D950B61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Reports on Progress in Physics 81(7):074001; DOI 10.1088/1361-6633/aab406; arXiv:1709.02779. Verified via web search 2026-09-05.</t>
        </r>
      </text>
    </comment>
    <comment ref="D56" authorId="0" shapeId="0" xr:uid="{0C02E412-9D99-4EEC-B783-495510A4BE61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Physical Review X 4(3):031002; DOI 10.1103/PhysRevX.4.031002. Verified via web search 2026-09-05.</t>
        </r>
      </text>
    </comment>
    <comment ref="D57" authorId="0" shapeId="0" xr:uid="{FF26C557-93F7-4257-8082-E396FF323DE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Scientific Reports 2:400; DOI 10.1038/srep00400. Verified via web search 2026-09-05.</t>
        </r>
      </text>
    </comment>
    <comment ref="D58" authorId="0" shapeId="0" xr:uid="{A78E0E96-55F9-4711-8A2A-A90C42687BC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IEEE Transactions on Systems, Man &amp; Cybernetics, Part B (Cybernetics) 38(5):1207-1220; DOI 10.1109/TSMCB.2008.925743. Verified via web search 2026-09-05.</t>
        </r>
      </text>
    </comment>
    <comment ref="D59" authorId="0" shapeId="0" xr:uid="{B500706A-F8F3-4460-B99E-D3849C640C8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arXiv:2202.12180 (later IEEE Access, 2024). Verified via web search 2026-09-05.</t>
        </r>
      </text>
    </comment>
    <comment ref="D60" authorId="0" shapeId="0" xr:uid="{1F871024-FE5E-450B-B2C1-5E9FD78E07F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Reviews of Modern Physics 94(1):015004; DOI 10.1103/RevModPhys.94.015004; arXiv:2101.08448. Verified via web search 2026-09-05.</t>
        </r>
      </text>
    </comment>
    <comment ref="D61" authorId="0" shapeId="0" xr:uid="{F1031B0A-DD2E-42EE-8ACE-5F23FFFD54B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Nature 574:505-510 (2019). Verified via web search 2026-09-05.</t>
        </r>
      </text>
    </comment>
    <comment ref="D62" authorId="0" shapeId="0" xr:uid="{F4B74457-7EC8-4C3D-B9A2-C308CF6EE35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ISBN 978-1-107-00217-3. Standard reference verified via web search 2026-09-05.</t>
        </r>
      </text>
    </comment>
    <comment ref="D63" authorId="0" shapeId="0" xr:uid="{09922691-D91C-4DFD-BE30-F7EA00DB79A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SIAM Journal on Computing 26(5):1484-1509; DOI 10.1137/S0097539795293172 (orig. 1994 FOCS). Verified via web search 2026-09-05.</t>
        </r>
      </text>
    </comment>
    <comment ref="D64" authorId="0" shapeId="0" xr:uid="{E0AE3406-82ED-4528-A90E-F219F7A2FA8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Robotica 24(4):513-521; DOI 10.1017/S0263574705002596. Author list to confirm at source. Verified via web search 2026-09-05.</t>
        </r>
      </text>
    </comment>
    <comment ref="D65" authorId="0" shapeId="0" xr:uid="{59483235-09E9-467E-B418-D72B19FF1BEB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Reviews of Modern Physics 89:035002; DOI 10.1103/RevModPhys.89.035002. Verified via web search 2026-09-05.</t>
        </r>
      </text>
    </comment>
    <comment ref="D66" authorId="0" shapeId="0" xr:uid="{A0239F45-DB5C-4F8A-A580-2853AA02CC7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npj Quantum Information 2:15023; DOI 10.1038/npjqi.2015.23. Verified via web search 2026-09-05.</t>
        </r>
      </text>
    </comment>
    <comment ref="D67" authorId="0" shapeId="0" xr:uid="{8A36A641-DE13-454B-A4E9-705A860BD8F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6:720; DOI 10.22331/q-2022-05-24-720. Verified via web search 2026-09-05.</t>
        </r>
      </text>
    </comment>
    <comment ref="D68" authorId="0" shapeId="0" xr:uid="{98FF337C-379C-4EF5-9883-9D9AC53AA47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Advances in Neural Information Processing Systems (NeurIPS) 34:28362-28375; arXiv:2103.05577. Verified via web search 2026-09-05.</t>
        </r>
      </text>
    </comment>
    <comment ref="D69" authorId="0" shapeId="0" xr:uid="{DFE468FE-4A6F-40D6-BCED-9539FBDE890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arXiv:2311.12875 (IEEE QCE). Verified via web search 2026-09-05.</t>
        </r>
      </text>
    </comment>
    <comment ref="D70" authorId="0" shapeId="0" xr:uid="{37404A13-1820-46B9-B832-F617CDC263D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Swarm and Evolutionary Computation 79:101297. Verified via web search 2026-09-05.</t>
        </r>
      </text>
    </comment>
    <comment ref="D71" authorId="0" shapeId="0" xr:uid="{56ECE26E-A94C-4466-BE9A-34AD4DE805F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Philosophical Transactions of the Royal Society A 383(2289):20240139; DOI 10.1098/rsta.2024.0139. Verified via web search 2026-09-05.</t>
        </r>
      </text>
    </comment>
    <comment ref="D72" authorId="0" shapeId="0" xr:uid="{E8F299C6-139B-42DE-8275-C2AD817AAC5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Mathematical Problems in Engineering 2018:1596080. Verified via web search 2026-09-05.</t>
        </r>
      </text>
    </comment>
    <comment ref="A73" authorId="0" shapeId="0" xr:uid="{908D3C98-87B1-4366-8247-00291AEF7AF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COMPLETE_Reading_List_Quantum_Cognition_and_Computing_Robotics.xlsx (All Papers sheet), uploaded 2026-09-06. 42 new papers appended (not already present in Papers by author+year).</t>
        </r>
      </text>
    </comment>
    <comment ref="A108" authorId="0" shapeId="0" xr:uid="{8D8DE00B-E2FE-44F3-B618-FBC34DE1640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quantum_cognition.pdf (annotated reading list, 74 papers), uploaded 2026-09-06. Papers below were listed in the PDF but not previously in the sheet.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yeshwanth guru</author>
    <author>tc={D1831949-CDDB-4F29-BA06-749D6D2CA7B6}</author>
    <author>tc={9BF7AE42-9ACB-4F84-9740-885A4A50775B}</author>
    <author>tc={3CA1EAAD-26A7-4554-B9D4-E2D54F5838C3}</author>
    <author>tc={D00DE606-133F-4166-A95A-DE5AFE646FF9}</author>
    <author>tc={54C4D712-521B-4F26-A387-447CD1DB43DB}</author>
    <author>tc={82C79C91-350D-4F62-AB89-AD7B7CC5DA61}</author>
    <author>tc={914DE44B-75FA-42C7-92EE-59BD5BD624B4}</author>
    <author>tc={8F671CF0-8AE8-4575-9ACD-A9AFEC8B6D8D}</author>
    <author>tc={CAE6FC7D-69FA-42E1-BEFF-3FBC492C8EC4}</author>
    <author>tc={165B2A45-20AE-446B-A3D5-E57C445AA543}</author>
    <author>tc={F5AB9AD7-45AF-4FCA-970D-A4BC4FE23D66}</author>
    <author>tc={28C22B55-9168-4AAF-B8BC-1DE321E134CB}</author>
    <author>tc={03EC124C-D820-4325-AE79-0F840542DDA2}</author>
    <author>tc={5B5F2FA0-C7DC-47E9-BF91-91FD0B2109BF}</author>
    <author>tc={983A1184-0456-40D0-AAD7-A372AB44F30D}</author>
    <author>tc={337F97E7-D77C-4178-A6AA-EBDB3B4DDBFA}</author>
    <author>tc={7B57BFC2-B9C5-4345-90AC-F44A98193ADD}</author>
    <author>tc={E89EEA85-0F03-4962-9BCE-410D3CB33BFC}</author>
    <author>tc={B3D95215-E681-450E-86D9-519E10613EC2}</author>
    <author>tc={A7342730-EB5D-4258-AC55-C0B7834ED330}</author>
    <author>tc={ACC5464D-0F11-4815-AB6C-140A93F56867}</author>
    <author>tc={10215208-0AB2-4162-8115-74C1FC42D013}</author>
  </authors>
  <commentList>
    <comment ref="D21" authorId="0" shapeId="0" xr:uid="{860961DE-0068-409A-BBDC-A2745D8A5ADF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DOI 10.1017/CBO9780511997716. 2nd ed. 2024. Verified via web search 2026-09-05.</t>
        </r>
      </text>
    </comment>
    <comment ref="D22" authorId="0" shapeId="0" xr:uid="{30A189DF-C05D-47DE-AEDE-457CD69F813E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Behavioral and Brain Sciences 36(3):255-274; DOI 10.1017/S0140525X12001525. Verified via web search 2026-09-05.</t>
        </r>
      </text>
    </comment>
    <comment ref="D23" authorId="0" shapeId="0" xr:uid="{C107F701-E2F4-4354-B5E7-42ED5FF2375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Annual Review of Psychology 73:749-778. Verified via web search 2026-09-05.</t>
        </r>
      </text>
    </comment>
    <comment ref="D24" authorId="0" shapeId="0" xr:uid="{2C90329F-3DF5-48E3-9383-3DCC143092AE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Machine Intelligence 6(2):86. Verified via web search 2026-09-05.</t>
        </r>
      </text>
    </comment>
    <comment ref="D25" authorId="0" shapeId="0" xr:uid="{A0219BD9-C4F9-4F18-8247-F8B8F345833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Entropy 25(4):548. Verified via web search 2026-09-05.</t>
        </r>
      </text>
    </comment>
    <comment ref="D26" authorId="0" shapeId="0" xr:uid="{72C74682-1BE7-4514-8D4A-D16907FC39E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Electronics 10(2):100. Verified via web search 2026-09-05.</t>
        </r>
      </text>
    </comment>
    <comment ref="D27" authorId="0" shapeId="0" xr:uid="{D316E8CF-5995-4B9E-8332-A31CFF8A5248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Adjunct Proc. 33rd ACM Conf. on User Modeling, Adaptation and Personalization (UMAP 2025); DOI 10.1145/3708319.3735545. Verified via web search 2026-09-05.</t>
        </r>
      </text>
    </comment>
    <comment ref="D28" authorId="0" shapeId="0" xr:uid="{27442FD8-0CB4-4EB2-B0E0-E1610DCD564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Reports on Progress in Physics 81(7):074001; DOI 10.1088/1361-6633/aab406; arXiv:1709.02779. Verified via web search 2026-09-05.</t>
        </r>
      </text>
    </comment>
    <comment ref="D29" authorId="0" shapeId="0" xr:uid="{160C2913-8064-49FE-B4BF-4F077DE246D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Physical Review X 4(3):031002; DOI 10.1103/PhysRevX.4.031002. Verified via web search 2026-09-05.</t>
        </r>
      </text>
    </comment>
    <comment ref="D30" authorId="0" shapeId="0" xr:uid="{412EFDC1-599C-4726-9225-9DCC83D605FF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Scientific Reports 2:400; DOI 10.1038/srep00400. Verified via web search 2026-09-05.</t>
        </r>
      </text>
    </comment>
    <comment ref="D31" authorId="0" shapeId="0" xr:uid="{7DC523D3-8DF2-438E-B123-FB76BE97A93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IEEE Transactions on Systems, Man &amp; Cybernetics, Part B (Cybernetics) 38(5):1207-1220; DOI 10.1109/TSMCB.2008.925743. Verified via web search 2026-09-05.</t>
        </r>
      </text>
    </comment>
    <comment ref="D32" authorId="0" shapeId="0" xr:uid="{6C816D8C-4EAD-4F5D-9CF9-1E1E9772796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arXiv:2202.12180 (later IEEE Access, 2024). Verified via web search 2026-09-05.</t>
        </r>
      </text>
    </comment>
    <comment ref="D33" authorId="0" shapeId="0" xr:uid="{6CBBD8A2-B8A6-4684-9F58-5A46D08447E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Reviews of Modern Physics 94(1):015004; DOI 10.1103/RevModPhys.94.015004; arXiv:2101.08448. Verified via web search 2026-09-05.</t>
        </r>
      </text>
    </comment>
    <comment ref="D34" authorId="0" shapeId="0" xr:uid="{9EEC77F9-90BA-43E2-91C1-19ED5F691B0B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Nature 574:505-510 (2019). Verified via web search 2026-09-05.</t>
        </r>
      </text>
    </comment>
    <comment ref="D35" authorId="0" shapeId="0" xr:uid="{64E3C617-73A9-4F93-B9D7-522A08F0404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ISBN 978-1-107-00217-3. Standard reference verified via web search 2026-09-05.</t>
        </r>
      </text>
    </comment>
    <comment ref="D36" authorId="0" shapeId="0" xr:uid="{A3149B91-104A-43C7-A980-EB432616426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SIAM Journal on Computing 26(5):1484-1509; DOI 10.1137/S0097539795293172 (orig. 1994 FOCS). Verified via web search 2026-09-05.</t>
        </r>
      </text>
    </comment>
    <comment ref="D37" authorId="0" shapeId="0" xr:uid="{05A2DEFF-73EA-4AF5-AC4D-941826F6DEB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Robotica 24(4):513-521; DOI 10.1017/S0263574705002596. Author list to confirm at source. Verified via web search 2026-09-05.</t>
        </r>
      </text>
    </comment>
    <comment ref="D38" authorId="0" shapeId="0" xr:uid="{7FC0C55B-0062-4C04-8ABD-7FB8D361EDF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Reviews of Modern Physics 89:035002; DOI 10.1103/RevModPhys.89.035002. Verified via web search 2026-09-05.</t>
        </r>
      </text>
    </comment>
    <comment ref="D39" authorId="0" shapeId="0" xr:uid="{322EA79D-C5B5-4250-80FC-E921AF75716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npj Quantum Information 2:15023; DOI 10.1038/npjqi.2015.23. Verified via web search 2026-09-05.</t>
        </r>
      </text>
    </comment>
    <comment ref="D40" authorId="0" shapeId="0" xr:uid="{59E6F491-FAB5-432B-ADD3-6B128E00150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6:720; DOI 10.22331/q-2022-05-24-720. Verified via web search 2026-09-05.</t>
        </r>
      </text>
    </comment>
    <comment ref="D41" authorId="0" shapeId="0" xr:uid="{18F542F5-5ADA-44FC-ACC9-4C0BEA68A18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Advances in Neural Information Processing Systems (NeurIPS) 34:28362-28375; arXiv:2103.05577. Verified via web search 2026-09-05.</t>
        </r>
      </text>
    </comment>
    <comment ref="D42" authorId="0" shapeId="0" xr:uid="{76071BBE-D70F-47A5-A68C-BC9F74A2AB6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arXiv:2311.12875 (IEEE QCE). Verified via web search 2026-09-05.</t>
        </r>
      </text>
    </comment>
    <comment ref="D43" authorId="0" shapeId="0" xr:uid="{41B6239B-486F-4144-99F0-04CE6CEEFE6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Swarm and Evolutionary Computation 79:101297. Verified via web search 2026-09-05.</t>
        </r>
      </text>
    </comment>
    <comment ref="D44" authorId="0" shapeId="0" xr:uid="{271E428F-A7B1-4535-9F58-4CE308E5211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Philosophical Transactions of the Royal Society A 383(2289):20240139; DOI 10.1098/rsta.2024.0139. Verified via web search 2026-09-05.</t>
        </r>
      </text>
    </comment>
    <comment ref="D45" authorId="0" shapeId="0" xr:uid="{14718662-29DC-4DE6-A742-11B60DAB4E83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Mathematical Problems in Engineering 2018:1596080. Verified via web search 2026-09-05.</t>
        </r>
      </text>
    </comment>
    <comment ref="D67" authorId="1" shapeId="0" xr:uid="{D1831949-CDDB-4F29-BA06-749D6D2CA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https://ieeexplore.ieee.org/abstract/document/8793768/ (web search, 2026-09-25)</t>
      </text>
    </comment>
    <comment ref="D68" authorId="2" shapeId="0" xr:uid="{9BF7AE42-9ACB-4F84-9740-885A4A50775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https://arxiv.org/html/2502.00077v1 (web search, 2026-09-25)</t>
      </text>
    </comment>
    <comment ref="D69" authorId="3" shapeId="0" xr:uid="{3CA1EAAD-26A7-4554-B9D4-E2D54F5838C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https://www.sciencedirect.com/science/article/pii/S0921889023000015 (web search, 2026-09-25)</t>
      </text>
    </comment>
    <comment ref="D70" authorId="4" shapeId="0" xr:uid="{D00DE606-133F-4166-A95A-DE5AFE646FF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https://www.icar.cnr.it/en/laboratori-icar/quantum-intelligence-lab-2-2/ (web search, 2026-09-25)</t>
      </text>
    </comment>
    <comment ref="D71" authorId="5" shapeId="0" xr:uid="{54C4D712-521B-4F26-A387-447CD1DB43D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https://arxiv.org/abs/2502.00077 (web search, 2026-09-25)</t>
      </text>
    </comment>
    <comment ref="D72" authorId="6" shapeId="0" xr:uid="{82C79C91-350D-4F62-AB89-AD7B7CC5DA6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https://www.frontiersin.org/journals/computer-science/articles/10.3389/fcomp.2019.00009/full (web search, 2026-09-25)</t>
      </text>
    </comment>
    <comment ref="D73" authorId="7" shapeId="0" xr:uid="{914DE44B-75FA-42C7-92EE-59BD5BD624B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https://link.springer.com/chapter/10.1007/978-981-96-8998-9_15 (web search, 2026-09-25)</t>
      </text>
    </comment>
    <comment ref="D74" authorId="8" shapeId="0" xr:uid="{8F671CF0-8AE8-4575-9ACD-A9AFEC8B6D8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https://arxiv.org/pdf/2608.06803 (web search, 2026-09-25)</t>
      </text>
    </comment>
    <comment ref="D75" authorId="9" shapeId="0" xr:uid="{CAE6FC7D-69FA-42E1-BEFF-3FBC492C8EC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76" authorId="10" shapeId="0" xr:uid="{165B2A45-20AE-446B-A3D5-E57C445AA54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https://arxiv.org/abs/2211.03464 (web search, 2026-09-25)</t>
      </text>
    </comment>
    <comment ref="D77" authorId="11" shapeId="0" xr:uid="{F5AB9AD7-45AF-4FCA-970D-A4BC4FE23D6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https://www.mendeley.com/catalogue/e3cbe29b-b3a0-3783-a70f-cd3de5aa951c/ (web search, 2026-09-25)</t>
      </text>
    </comment>
    <comment ref="D78" authorId="12" shapeId="0" xr:uid="{28C22B55-9168-4AAF-B8BC-1DE321E134C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https://arxiv.org/pdf/2511.13408 (web search, 2026-09-25)</t>
      </text>
    </comment>
    <comment ref="D79" authorId="13" shapeId="0" xr:uid="{03EC124C-D820-4325-AE79-0F840542DDA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https://research.google/pubs/quantum-error-mitigation/ (web search, 2026-09-25)</t>
      </text>
    </comment>
    <comment ref="D80" authorId="14" shapeId="0" xr:uid="{5B5F2FA0-C7DC-47E9-BF91-91FD0B2109B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https://arxiv.org/pdf/2309.17368 (web search, 2026-09-25)</t>
      </text>
    </comment>
    <comment ref="D81" authorId="15" shapeId="0" xr:uid="{983A1184-0456-40D0-AAD7-A372AB44F30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2" authorId="16" shapeId="0" xr:uid="{337F97E7-D77C-4178-A6AA-EBDB3B4DDBF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https://arxiv.org/pdf/2504.08167 (web search, 2026-09-25)</t>
      </text>
    </comment>
    <comment ref="D83" authorId="17" shapeId="0" xr:uid="{7B57BFC2-B9C5-4345-90AC-F44A98193AD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https://www.frontiersin.org/journals/physics/articles/10.3389/fphy.2022.994459/full (web search, 2026-09-25)</t>
      </text>
    </comment>
    <comment ref="D84" authorId="18" shapeId="0" xr:uid="{E89EEA85-0F03-4962-9BCE-410D3CB33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https://www.frontiersin.org/journals/physics/articles/10.3389/fphy.2022.994459/full (web search, 2026-09-25)</t>
      </text>
    </comment>
    <comment ref="D85" authorId="19" shapeId="0" xr:uid="{B3D95215-E681-450E-86D9-519E10613EC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6" authorId="20" shapeId="0" xr:uid="{A7342730-EB5D-4258-AC55-C0B7834ED33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7" authorId="21" shapeId="0" xr:uid="{ACC5464D-0F11-4815-AB6C-140A93F5686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8" authorId="22" shapeId="0" xr:uid="{10215208-0AB2-4162-8115-74C1FC42D01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H89" authorId="0" shapeId="0" xr:uid="{81D5E0AA-DCDB-4CD8-91ED-F077141B081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https://arxiv.org/pdf/2104.10653 (reference list, citing Int. J. Theor. Phys. 21, 467)</t>
        </r>
      </text>
    </comment>
    <comment ref="H95" authorId="0" shapeId="0" xr:uid="{B725BC60-2590-481C-A27C-24D6B9481ACF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https://dl.acm.org/doi/abs/10.1145/3293320.3293333</t>
        </r>
      </text>
    </comment>
    <comment ref="H98" authorId="0" shapeId="0" xr:uid="{7E264F11-6681-4B37-99C6-643836F9A17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https://link.springer.com/article/10.1007/s42484-024-00225-5 (reference list)</t>
        </r>
      </text>
    </comment>
    <comment ref="H99" authorId="0" shapeId="0" xr:uid="{4766459E-9D9F-4EF4-810E-C79C0B17152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https://arxiv.org/pdf/2609.16089 (reference list)</t>
        </r>
      </text>
    </comment>
    <comment ref="H101" authorId="0" shapeId="0" xr:uid="{EBA29CB9-A089-4CB2-A2CC-C3919147ECD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https://dl.acm.org/doi/10.1145/3357713.3384314</t>
        </r>
      </text>
    </comment>
    <comment ref="H108" authorId="0" shapeId="0" xr:uid="{587C72DF-A892-4FE8-97FF-75A4DF56C09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https://par.nsf.gov/biblio/10313645-quantum-computing-cloud-analyzing-job-machine-characteristics</t>
        </r>
      </text>
    </comment>
    <comment ref="H110" authorId="0" shapeId="0" xr:uid="{00D5208D-0D6A-4A4D-A1D8-DDEE3FE8FFF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https://pubs.aip.org/aip/jcp/article-abstract/154/13/134115/1065544</t>
        </r>
      </text>
    </comment>
    <comment ref="H111" authorId="0" shapeId="0" xr:uid="{2283B171-9C49-4B7A-A32B-6560A0CDCAE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https://journals.aps.org/prresearch/abstract/10.1103/PhysRevResearch.4.023019</t>
        </r>
      </text>
    </comment>
    <comment ref="H112" authorId="0" shapeId="0" xr:uid="{E83FDFBB-410E-4203-9163-97BC2667C92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https://arxiv.org/pdf/2104.10653 (reference list, citing PNAS 10.1073/pnas.1619152114)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yeshwanth guru</author>
    <author>tc={046EC7D2-0602-41FA-ACF8-577A66709BAD}</author>
    <author>tc={925F4C43-B4BE-4D73-A8BC-DB99AFFD6AE3}</author>
    <author>tc={7F6850AA-4DF0-427F-B835-2BFB80F28FDA}</author>
    <author>tc={8042BA95-B683-473B-A2EF-39D52B98FE71}</author>
    <author>tc={3352FBEF-DAF1-4B31-BA4E-4B3ED70F129A}</author>
    <author>tc={4C9A3E58-E68B-4EB3-8AE8-EC71078E724F}</author>
    <author>tc={AA49201B-763E-49E2-A139-91B806BD411A}</author>
    <author>tc={17C17108-1586-4A21-8AA5-152DC7CC661D}</author>
    <author>tc={BA74F4C2-5FE9-4408-AC1F-C88068C95B50}</author>
    <author>tc={947DF6B0-672C-4723-9114-B8740383DDE4}</author>
    <author>tc={27B34C34-A754-45C6-B212-1BD14B3254D7}</author>
    <author>tc={6C0EEDD5-9167-4333-8E5D-78231EBEDB22}</author>
    <author>tc={8EE9163A-1B5A-496C-8FA1-012BA6304696}</author>
    <author>tc={CB91AE1A-BA1E-450E-A16C-B249A0C996FD}</author>
    <author>tc={131A9C15-ED7C-4815-B08E-EFAE9737B81A}</author>
    <author>tc={5C411D43-2FEA-485F-B18B-53483EC43756}</author>
    <author>tc={0EFCDBDB-918E-4520-8A61-0E2EB0BBEA2F}</author>
    <author>tc={3CBF1798-2B26-46A9-88BC-77CE09CB1FB9}</author>
    <author>tc={BADC5A7F-4E15-450C-8DCD-2D27B0A95727}</author>
    <author>tc={BA75925E-CC6F-4AC1-B0B8-9AF6925D2F4E}</author>
    <author>tc={F394E2DC-02C7-4009-9B6F-6309F683F428}</author>
    <author>tc={AEEC9755-FE96-409E-8170-2B54B584AE51}</author>
    <author>tc={A150918D-48EC-4FD2-A8FF-5DE93C07AD78}</author>
    <author>tc={B44D2340-D677-4BF4-9DEB-6FA621EB9E3E}</author>
    <author>tc={9C81BBCA-D37F-4787-8D68-443ECD1E56CF}</author>
    <author>tc={3AF7D506-E6D6-4235-9C34-0577868335C1}</author>
    <author>tc={8AA44354-3228-47FA-846B-45AC5C70E902}</author>
    <author>tc={0C55F622-DFB7-4987-AB16-0E0849C975B7}</author>
    <author>tc={E94E8F40-4C87-4200-8587-EFAD9C8F3792}</author>
    <author>tc={51EFE9AE-CDF5-433E-A878-722CC1043269}</author>
    <author>tc={CF3B9689-F305-442F-9687-72B66A774154}</author>
    <author>tc={D1A149BA-7211-4360-BC04-83998CDAD04E}</author>
    <author>tc={27C13BC2-9735-452E-BE3E-2455CE69D665}</author>
    <author>tc={CCFEDA4A-C213-4B77-AB91-B86618634930}</author>
    <author>tc={F20DBE78-2591-471F-899B-2BAA77FDA5A0}</author>
    <author>tc={136DE951-D23B-4CDE-9AD8-A6270A33544A}</author>
  </authors>
  <commentList>
    <comment ref="D8" authorId="0" shapeId="0" xr:uid="{1878111E-CF54-4B53-8CE0-CF6E3720472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Cambridge University Press; DOI 10.1017/CBO9780511997716. 2nd ed. 2024. Verified via web search 2026-09-05.</t>
        </r>
      </text>
    </comment>
    <comment ref="D9" authorId="0" shapeId="0" xr:uid="{19DEA601-4661-47E7-AD65-BB98D7DA55A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Behavioral and Brain Sciences 36(3):255-274; DOI 10.1017/S0140525X12001525. Verified via web search 2026-09-05.</t>
        </r>
      </text>
    </comment>
    <comment ref="D10" authorId="0" shapeId="0" xr:uid="{CB4FA3F9-55AF-43C7-A73A-8F11DDBFEF2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Annual Review of Psychology 73:749-778. Verified via web search 2026-09-05.</t>
        </r>
      </text>
    </comment>
    <comment ref="D11" authorId="0" shapeId="0" xr:uid="{503D9C57-665F-4B3D-A768-ABAF775F9164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Trends in Cognitive Sciences 19(7):383-393. Verified via web search 2026-09-05.</t>
        </r>
      </text>
    </comment>
    <comment ref="D12" authorId="0" shapeId="0" xr:uid="{865F8895-F27D-4297-8299-0EB66232399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Psychological Review 118(2):193-218. Verified via web search 2026-09-05.</t>
        </r>
      </text>
    </comment>
    <comment ref="D13" authorId="0" shapeId="0" xr:uid="{5AFAC565-898B-4287-B1C9-720D8724C7C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Topics in Cognitive Science 5(4):672-688. Verified via web search 2026-09-05.</t>
        </r>
      </text>
    </comment>
    <comment ref="D14" authorId="0" shapeId="0" xr:uid="{BC056ECD-4C80-4126-8325-DA10849D29AE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Journal of Mathematical Psychology 53(5):314-348. Verified via web search 2026-09-05.</t>
        </r>
      </text>
    </comment>
    <comment ref="D15" authorId="0" shapeId="0" xr:uid="{ECDFB31F-4CE7-409C-9629-FD717CF518A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Springer, Berlin. Verified via web search 2026-09-05.</t>
        </r>
      </text>
    </comment>
    <comment ref="D16" authorId="0" shapeId="0" xr:uid="{ED1FBB4C-CBCC-4549-BE83-E038054425C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Machine Intelligence 6(2):86. Verified via web search 2026-09-05.</t>
        </r>
      </text>
    </comment>
    <comment ref="D17" authorId="0" shapeId="0" xr:uid="{4B019365-7E66-4017-B1F3-551B2D3E0EE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Entropy 25(4):548. Verified via web search 2026-09-05.</t>
        </r>
      </text>
    </comment>
    <comment ref="D18" authorId="0" shapeId="0" xr:uid="{285ACC97-0DE4-438F-A7F5-E9CF88ACB48D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Electronics 10(2):100. Verified via web search 2026-09-05.</t>
        </r>
      </text>
    </comment>
    <comment ref="D19" authorId="0" shapeId="0" xr:uid="{34515514-CF4C-4739-9F08-BF2A69590AA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Adjunct Proc. 33rd ACM Conf. on User Modeling, Adaptation and Personalization (UMAP 2025); DOI 10.1145/3708319.3735545. Verified via web search 2026-09-05.</t>
        </r>
      </text>
    </comment>
    <comment ref="D20" authorId="0" shapeId="0" xr:uid="{EB64E2EE-2AE8-4357-A11C-58B7751B9466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Computers, Materials &amp; Continua; DOI 10.32604/cmc.2025.065572. Author list to confirm at source. Verified via web search 2026-09-05.</t>
        </r>
      </text>
    </comment>
    <comment ref="D21" authorId="0" shapeId="0" xr:uid="{CAFAB109-5D8A-473D-875B-59C8280F375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PhD Thesis, Universidade de Lisboa. Verified via web search 2026-09-05.</t>
        </r>
      </text>
    </comment>
    <comment ref="D22" authorId="0" shapeId="0" xr:uid="{C5E2A9C6-5667-47B5-9A8A-391DD13B6079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Reports on Progress in Physics 81(7):074001; DOI 10.1088/1361-6633/aab406; arXiv:1709.02779. Verified via web search 2026-09-05.</t>
        </r>
      </text>
    </comment>
    <comment ref="D23" authorId="0" shapeId="0" xr:uid="{779108E9-E2F3-4371-A8F5-2D1DCA8F17FA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Physical Review X 4(3):031002; DOI 10.1103/PhysRevX.4.031002. Verified via web search 2026-09-05.</t>
        </r>
      </text>
    </comment>
    <comment ref="D24" authorId="0" shapeId="0" xr:uid="{25CDB52C-6EAB-4D58-8207-DE41447177C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Scientific Reports 2:400; DOI 10.1038/srep00400. Verified via web search 2026-09-05.</t>
        </r>
      </text>
    </comment>
    <comment ref="D25" authorId="0" shapeId="0" xr:uid="{51205BFA-280A-48AE-83C8-E6445A45EBFC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IEEE Transactions on Systems, Man &amp; Cybernetics, Part B (Cybernetics) 38(5):1207-1220; DOI 10.1109/TSMCB.2008.925743. Verified via web search 2026-09-05.</t>
        </r>
      </text>
    </comment>
    <comment ref="D26" authorId="0" shapeId="0" xr:uid="{FF22B2CE-2239-4780-8D1C-112F364EE861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arXiv:2202.12180 (later IEEE Access, 2024). Verified via web search 2026-09-05.</t>
        </r>
      </text>
    </comment>
    <comment ref="D27" authorId="0" shapeId="0" xr:uid="{D34D2C52-3337-4752-AB80-6A6ACB03B154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Robotica 24(4):513-521; DOI 10.1017/S0263574705002596. Author list to confirm at source. Verified via web search 2026-09-05.</t>
        </r>
      </text>
    </comment>
    <comment ref="D28" authorId="0" shapeId="0" xr:uid="{3AF5B723-2EDD-4EEF-AAED-402B7F4B9D3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 6:720; DOI 10.22331/q-2022-05-24-720. Verified via web search 2026-09-05.</t>
        </r>
      </text>
    </comment>
    <comment ref="D29" authorId="0" shapeId="0" xr:uid="{D133C5D6-92DD-41E8-AD7C-47D66C790AF5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Advances in Neural Information Processing Systems (NeurIPS) 34:28362-28375; arXiv:2103.05577. Verified via web search 2026-09-05.</t>
        </r>
      </text>
    </comment>
    <comment ref="A53" authorId="0" shapeId="0" xr:uid="{B0D7EA0B-5B8C-4BFD-AC7F-FE70E9FCAF9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quantum_cognition.pdf (annotated reading list, 74 papers), uploaded 2026-09-06. Papers below were listed in the PDF but not previously in the sheet.</t>
        </r>
      </text>
    </comment>
    <comment ref="D68" authorId="1" shapeId="0" xr:uid="{046EC7D2-0602-41FA-ACF8-577A66709BA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https://www.frontiersin.org/journals/psychology/articles/10.3389/fpsyg.2016.00011/full (web search, 2026-09-25)</t>
      </text>
    </comment>
    <comment ref="D69" authorId="2" shapeId="0" xr:uid="{925F4C43-B4BE-4D73-A8BC-DB99AFFD6AE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https://arxiv.org/pdf/2006.02256 (web search, 2026-09-25)</t>
      </text>
    </comment>
    <comment ref="D70" authorId="3" shapeId="0" xr:uid="{7F6850AA-4DF0-427F-B835-2BFB80F28FD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https://arxiv.org/pdf/2006.02256 (web search, 2026-09-25)</t>
      </text>
    </comment>
    <comment ref="D71" authorId="4" shapeId="0" xr:uid="{8042BA95-B683-473B-A2EF-39D52B98FE7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https://pubmed.ncbi.nlm.nih.gov/40003149 (web search, 2026-09-25)</t>
      </text>
    </comment>
    <comment ref="D72" authorId="5" shapeId="0" xr:uid="{3352FBEF-DAF1-4B31-BA4E-4B3ED70F1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https://arxiv.org/pdf/2205.12378 (web search, 2026-09-25)</t>
      </text>
    </comment>
    <comment ref="D73" authorId="6" shapeId="0" xr:uid="{4C9A3E58-E68B-4EB3-8AE8-EC71078E724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https://arxiv.org/pdf/2205.12378 (web search, 2026-09-25)</t>
      </text>
    </comment>
    <comment ref="D74" authorId="7" shapeId="0" xr:uid="{AA49201B-763E-49E2-A139-91B806BD411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https://arxiv.org/pdf/2607.17219 (web search, 2026-09-25)</t>
      </text>
    </comment>
    <comment ref="D75" authorId="8" shapeId="0" xr:uid="{17C17108-1586-4A21-8AA5-152DC7CC661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https://arxiv.org/pdf/1703.02386 (web search, 2026-09-25)</t>
      </text>
    </comment>
    <comment ref="D76" authorId="9" shapeId="0" xr:uid="{BA74F4C2-5FE9-4408-AC1F-C88068C95B5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https://www.nature.com/articles/s41598-022-13757-2 (web search, 2026-09-25)</t>
      </text>
    </comment>
    <comment ref="D77" authorId="10" shapeId="0" xr:uid="{947DF6B0-672C-4723-9114-B8740383DDE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https://arxiv.org/pdf/2205.12378 (web search, 2026-09-25)</t>
      </text>
    </comment>
    <comment ref="D78" authorId="11" shapeId="0" xr:uid="{27B34C34-A754-45C6-B212-1BD14B32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https://www.cambridge.org/core/books/abs/quantum-models-of-cognition-and-decision/references/14C9F090517B89605E62E98979974C48 (web search, 2026-09-25)</t>
      </text>
    </comment>
    <comment ref="D79" authorId="12" shapeId="0" xr:uid="{6C0EEDD5-9167-4333-8E5D-78231EBEDB2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https://arxiv.org/abs/1609.07721 (web search, 2026-09-25)</t>
      </text>
    </comment>
    <comment ref="D80" authorId="13" shapeId="0" xr:uid="{8EE9163A-1B5A-496C-8FA1-012BA630469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https://arxiv.org/pdf/2604.01366 (web search, 2026-09-25)</t>
      </text>
    </comment>
    <comment ref="D81" authorId="14" shapeId="0" xr:uid="{CB91AE1A-BA1E-450E-A16C-B249A0C996F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2" authorId="15" shapeId="0" xr:uid="{131A9C15-ED7C-4815-B08E-EFAE9737B81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https://arxiv.org/pdf/2006.02256 (web search, 2026-09-25)</t>
      </text>
    </comment>
    <comment ref="D83" authorId="16" shapeId="0" xr:uid="{5C411D43-2FEA-485F-B18B-53483EC4375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4" authorId="17" shapeId="0" xr:uid="{0EFCDBDB-918E-4520-8A61-0E2EB0BBE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5" authorId="18" shapeId="0" xr:uid="{3CBF1798-2B26-46A9-88BC-77CE09CB1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86" authorId="19" shapeId="0" xr:uid="{BADC5A7F-4E15-450C-8DCD-2D27B0A9572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https://arxiv.org/pdf/1904.05298 (web search, 2026-09-25)</t>
      </text>
    </comment>
    <comment ref="D87" authorId="20" shapeId="0" xr:uid="{BA75925E-CC6F-4AC1-B0B8-9AF6925D2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https://dl.acm.org/doi/10.1145/3505138 (web search, 2026-09-25)</t>
      </text>
    </comment>
    <comment ref="D88" authorId="21" shapeId="0" xr:uid="{F394E2DC-02C7-4009-9B6F-6309F683F42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https://dl.acm.org/doi/10.1145/3505138 (web search, 2026-09-25)</t>
      </text>
    </comment>
    <comment ref="D89" authorId="22" shapeId="0" xr:uid="{AEEC9755-FE96-409E-8170-2B54B584AE5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https://dl.acm.org/doi/10.1145/3505138 (web search, 2026-09-25)</t>
      </text>
    </comment>
    <comment ref="D90" authorId="23" shapeId="0" xr:uid="{A150918D-48EC-4FD2-A8FF-5DE93C07AD7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1" authorId="24" shapeId="0" xr:uid="{B44D2340-D677-4BF4-9DEB-6FA621EB9E3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2" authorId="25" shapeId="0" xr:uid="{9C81BBCA-D37F-4787-8D68-443ECD1E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https://arxiv.org/pdf/2607.17219 (web search, 2026-09-25)</t>
      </text>
    </comment>
    <comment ref="D93" authorId="26" shapeId="0" xr:uid="{3AF7D506-E6D6-4235-9C34-057786833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4" authorId="27" shapeId="0" xr:uid="{8AA44354-3228-47FA-846B-45AC5C70E90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5" authorId="28" shapeId="0" xr:uid="{0C55F622-DFB7-4987-AB16-0E0849C975B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6" authorId="29" shapeId="0" xr:uid="{E94E8F40-4C87-4200-8587-EFAD9C8F379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7" authorId="30" shapeId="0" xr:uid="{51EFE9AE-CDF5-433E-A878-722CC104326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8" authorId="31" shapeId="0" xr:uid="{CF3B9689-F305-442F-9687-72B66A77415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99" authorId="32" shapeId="0" xr:uid="{D1A149BA-7211-4360-BC04-83998CDAD04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100" authorId="33" shapeId="0" xr:uid="{27C13BC2-9735-452E-BE3E-2455CE69D66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https://www.nature.com/articles/s41598-022-13757-2 (web search, 2026-09-25)</t>
      </text>
    </comment>
    <comment ref="D101" authorId="34" shapeId="0" xr:uid="{CCFEDA4A-C213-4B77-AB91-B8661863493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domain knowledge — not web-verified; confirm DOI</t>
      </text>
    </comment>
    <comment ref="D102" authorId="35" shapeId="0" xr:uid="{F20DBE78-2591-471F-899B-2BAA77FDA5A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https://arxiv.org/abs/2211.03464 (web search, 2026-09-25)</t>
      </text>
    </comment>
    <comment ref="D103" authorId="36" shapeId="0" xr:uid="{136DE951-D23B-4CDE-9AD8-A6270A33544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https://ieeexplore.ieee.org/abstract/document/8793768/ (web search, 2026-09-25)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yeshwanth guru</author>
  </authors>
  <commentList>
    <comment ref="H105" authorId="0" shapeId="0" xr:uid="{186DC673-7CD7-487D-9C88-DDD7EBDD1F7F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 (venue): reference [43] in arXiv:2606.01047, https://arxiv.org/pdf/2606.01047</t>
        </r>
      </text>
    </comment>
    <comment ref="H106" authorId="0" shapeId="0" xr:uid="{0A795EFE-17F9-4E34-B9B1-E8C8BBD77162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 abstract page (CoRL 2024), https://arxiv.org/pdf/2407.01531</t>
        </r>
      </text>
    </comment>
    <comment ref="T108" authorId="0" shapeId="0" xr:uid="{7751D596-1547-4992-A1E7-D8BA5B71EC87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reference [46] in arXiv:2606.01047, https://arxiv.org/pdf/2606.01047</t>
        </r>
      </text>
    </comment>
    <comment ref="H109" authorId="0" shapeId="0" xr:uid="{85578654-41A0-4FDC-9175-71F63099EF90}">
      <text>
        <r>
          <rPr>
            <b/>
            <sz val="9"/>
            <color indexed="81"/>
            <rFont val="Tahoma"/>
            <charset val="1"/>
          </rPr>
          <t>yeshwanth guru:</t>
        </r>
        <r>
          <rPr>
            <sz val="9"/>
            <color indexed="81"/>
            <rFont val="Tahoma"/>
            <charset val="1"/>
          </rPr>
          <t xml:space="preserve">
Source: arXiv abstract page, https://arxiv.org/abs/2601.21251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<sst xmlns="http://schemas.openxmlformats.org/spreadsheetml/2006/main" count="13475" uniqueCount="3635">
  <si>
    <t>Category</t>
  </si>
  <si>
    <t>Author</t>
  </si>
  <si>
    <t>Year</t>
  </si>
  <si>
    <t>Title</t>
  </si>
  <si>
    <t>Venue</t>
  </si>
  <si>
    <t>Relevance</t>
  </si>
  <si>
    <t>Status</t>
  </si>
  <si>
    <t>URL</t>
  </si>
  <si>
    <t>Importance</t>
  </si>
  <si>
    <t>Quantum Optimization</t>
  </si>
  <si>
    <t>Quantum Machine Learning</t>
  </si>
  <si>
    <t>Quantum Sensor Fusion</t>
  </si>
  <si>
    <t>Quantum Control</t>
  </si>
  <si>
    <t>Quantum Anomaly Detection</t>
  </si>
  <si>
    <t>Quantum Cryptography</t>
  </si>
  <si>
    <t>Quantum Monte Carlo</t>
  </si>
  <si>
    <t>Quantum Linear Algebra</t>
  </si>
  <si>
    <t>Quantum Graph Algorithms</t>
  </si>
  <si>
    <t>General Quantum Robotics</t>
  </si>
  <si>
    <t>Context: Classical Robotics</t>
  </si>
  <si>
    <t>Farhi, E., Goldstone, J., Gutmann, S.</t>
  </si>
  <si>
    <t>Hadfield, S., Wang, Z., O'Gorman, B., et al.</t>
  </si>
  <si>
    <t>Zhou, L., Wang, S.-T., Choi, S., et al.</t>
  </si>
  <si>
    <t>Cerezo, M., Arrasmith, A., Babbush, R., et al.</t>
  </si>
  <si>
    <t>Guerreschi, G.G., Carr, J.</t>
  </si>
  <si>
    <t>Biamonte, J., Wittek, P., Pancotti, N., et al.</t>
  </si>
  <si>
    <t>Schuld, M., Killoran, N.</t>
  </si>
  <si>
    <t>Havlíček, V., Córcoles, A.D., Temme, K., et al.</t>
  </si>
  <si>
    <t>Henderson, M., Shakya, S., Pradhan, S., Lord, T.</t>
  </si>
  <si>
    <t>Alcazar, A., Datta, A., García-Ginés, M.</t>
  </si>
  <si>
    <t>Beran, F., Ivgi, Y., Pastawski, F.</t>
  </si>
  <si>
    <t>Cramer, M., Plenio, M.B., Flammia, S.T., et al.</t>
  </si>
  <si>
    <t>Kyprianidis, A., Zhao, F., Cubitt, T.S.</t>
  </si>
  <si>
    <t>Brif, C., Chakrabartty, R., Rabitz, H.</t>
  </si>
  <si>
    <t>Koch, C.P., Boscain, U., Calarco, T., et al.</t>
  </si>
  <si>
    <t>Mabuchi, H., Khaneja, N.</t>
  </si>
  <si>
    <t>Lloyd, S., Mohseni, M., Rebentrost, P.</t>
  </si>
  <si>
    <t>Liu, B., Liu, Y., Sun, C.</t>
  </si>
  <si>
    <t>Lei, Y., Yang, B., Jiang, X., et al.</t>
  </si>
  <si>
    <t>Bennett, C.H., Brassard, G.</t>
  </si>
  <si>
    <t>Ekert, A.K.</t>
  </si>
  <si>
    <t>Scarani, V., Bechmann-Pasquinucci, H., Cerf, N.J., et al.</t>
  </si>
  <si>
    <t>Zhang, W., van Leeuwen, R., van Beveren, H.B.S., et al.</t>
  </si>
  <si>
    <t>Gottesman, D., Chuang, I.</t>
  </si>
  <si>
    <t>Grover, L.K.</t>
  </si>
  <si>
    <t>Montanaro, A.</t>
  </si>
  <si>
    <t>Wiebe, N., Kapoor, A., Svore, K.M.</t>
  </si>
  <si>
    <t>Harrow, A.W., Hassidim, A., Lloyd, S.</t>
  </si>
  <si>
    <t>Clader, B.D., Jacobs, B.C., Sprouse, C.R.</t>
  </si>
  <si>
    <t>Gilyén, A., Su, Y., Low, G.H., Wiebe, N.</t>
  </si>
  <si>
    <t>Aharonov, D., Ambainis, A., Kempe, J., Vazirani, U.</t>
  </si>
  <si>
    <t>Kempe, J.</t>
  </si>
  <si>
    <t>Barkoutsos, P.K., Nannicini, G., Robert, A., et al.</t>
  </si>
  <si>
    <t>Dong, D., Chen, C., Li, H., Tarn, T.-J.</t>
  </si>
  <si>
    <t>Preskill, J.</t>
  </si>
  <si>
    <t>Tang, E.</t>
  </si>
  <si>
    <t>Cerezo, M., Holmes, Z., Cincio, L., Coles, P.J.</t>
  </si>
  <si>
    <t>Lamm, H.</t>
  </si>
  <si>
    <t>Thrun, S., Burgard, W., Fox, D.</t>
  </si>
  <si>
    <t>A Quantum Approximate Optimization Algorithm</t>
  </si>
  <si>
    <t>From the Ising model to QAOA: a tutorial</t>
  </si>
  <si>
    <t>Quantum approximate optimization algorithm: Performance on near-term devices</t>
  </si>
  <si>
    <t>Variational quantum algorithms</t>
  </si>
  <si>
    <t>Solving combinatorial optimization problems using QAOA</t>
  </si>
  <si>
    <t>Quantum machine learning</t>
  </si>
  <si>
    <t>Quantum machine learning in feature Hilbert spaces</t>
  </si>
  <si>
    <t>Supervised learning with quantum-enhanced feature spaces</t>
  </si>
  <si>
    <t>Quanvolutional neural networks: powering image recognition with quantum circuits</t>
  </si>
  <si>
    <t>Quantum machine learning for robot perception</t>
  </si>
  <si>
    <t>Quantum Kalman filtering with NMR and superconducting qubits</t>
  </si>
  <si>
    <t>Efficient quantum state tomography</t>
  </si>
  <si>
    <t>Quantum localization in high dimensions</t>
  </si>
  <si>
    <t>Control of quantum phenomena: past, present and future</t>
  </si>
  <si>
    <t>Quantum optimal control in quantum technologies</t>
  </si>
  <si>
    <t>Rejoicing on the frontier: quantum control perspective</t>
  </si>
  <si>
    <t>Quantum algorithms for supervised and unsupervised machine learning</t>
  </si>
  <si>
    <t>Quantum anomaly detection via quantum PCA</t>
  </si>
  <si>
    <t>Applications of machine learning to machine fault diagnosis</t>
  </si>
  <si>
    <t>Quantum cryptography: Public key distribution and coin tossing</t>
  </si>
  <si>
    <t>Quantum cryptography based on Bell's theorem</t>
  </si>
  <si>
    <t>The security of practical quantum key distribution</t>
  </si>
  <si>
    <t>A network of high-performance quantum repeaters</t>
  </si>
  <si>
    <t>Quantum digital signatures</t>
  </si>
  <si>
    <t>A fast quantum mechanical algorithm for database search</t>
  </si>
  <si>
    <t>Quantum speedup of Monte Carlo methods</t>
  </si>
  <si>
    <t>Quantum algorithms for nearest-neighbor methods</t>
  </si>
  <si>
    <t>Quantum algorithm for linear regression</t>
  </si>
  <si>
    <t>Preconditioned quantum linear system algorithm</t>
  </si>
  <si>
    <t>Quantum singular value transformation and beyond</t>
  </si>
  <si>
    <t>Quantum walks on graphs</t>
  </si>
  <si>
    <t>Quantum random walks: an introductory overview</t>
  </si>
  <si>
    <t>Improving variational quantum optimization using CVaR</t>
  </si>
  <si>
    <t>Robust quantum-inspired reinforcement learning for robot navigation</t>
  </si>
  <si>
    <t>Quantum computing in the NISQ era and beyond</t>
  </si>
  <si>
    <t>Quantum-inspired classical algorithm for recommendation systems</t>
  </si>
  <si>
    <t>Barren plateaus in quantum algorithm training landscapes</t>
  </si>
  <si>
    <t>Hybrid quantum-classical computing for robotics: literature review and perspectives</t>
  </si>
  <si>
    <t>Probabilistic Robotics</t>
  </si>
  <si>
    <t>arXiv:1411.4028</t>
  </si>
  <si>
    <t>IEEE International Conference on QCE</t>
  </si>
  <si>
    <t>Physical Review X, 10(2)</t>
  </si>
  <si>
    <t>Nature Reviews Physics, 3(9)</t>
  </si>
  <si>
    <t>arXiv:2001.05824</t>
  </si>
  <si>
    <t>Nature, 549(7671)</t>
  </si>
  <si>
    <t>Nature Communications, 13</t>
  </si>
  <si>
    <t>Nature, 567</t>
  </si>
  <si>
    <t>IEEE Access, 8</t>
  </si>
  <si>
    <t>Quantum Machine Intelligence, 4(2)</t>
  </si>
  <si>
    <t>arXiv:2206.14118</t>
  </si>
  <si>
    <t>Nature Communications, 1</t>
  </si>
  <si>
    <t>Physical Review Letters, 127</t>
  </si>
  <si>
    <t>New Journal of Physics, 12</t>
  </si>
  <si>
    <t>Strategic Report, arXiv:2205.04992</t>
  </si>
  <si>
    <t>Reviews of Modern Physics, 80(3)</t>
  </si>
  <si>
    <t>arXiv:1307.0411</t>
  </si>
  <si>
    <t>arXiv:2011.10027</t>
  </si>
  <si>
    <t>Mechanical Systems and Signal Processing, 100</t>
  </si>
  <si>
    <t>IEEE Intl Conf on Computers, Systems and Signal Processing</t>
  </si>
  <si>
    <t>Physical Review Letters, 67(6)</t>
  </si>
  <si>
    <t>Reviews of Modern Physics, 81(3)</t>
  </si>
  <si>
    <t>Nature, 607</t>
  </si>
  <si>
    <t>arXiv:quant-ph/0105098</t>
  </si>
  <si>
    <t>ACM Symposium on Theory of Computing</t>
  </si>
  <si>
    <t>Proceedings of the Royal Society A, 471</t>
  </si>
  <si>
    <t>Quantum Information &amp; Computation, 15(3-4)</t>
  </si>
  <si>
    <t>Physical Review Letters, 103(15)</t>
  </si>
  <si>
    <t>Physical Review Letters, 110(25)</t>
  </si>
  <si>
    <t>ACM SIGACT Symposium on Theory of Computing</t>
  </si>
  <si>
    <t>Contemporary Physics, 44(4)</t>
  </si>
  <si>
    <t>Quantum, 4</t>
  </si>
  <si>
    <t>IEEE/ASME Transactions on Mechatronics, 17(1)</t>
  </si>
  <si>
    <t>Quantum, 2</t>
  </si>
  <si>
    <t>Nature Communications, 12</t>
  </si>
  <si>
    <t>arXiv:2109.12484</t>
  </si>
  <si>
    <t>MIT Press</t>
  </si>
  <si>
    <t>Foundational QAOA paper; introduces variational quantum circuits for combinatorial optimization</t>
  </si>
  <si>
    <t>Detailed QAOA walkthrough for Ising problems; applicable to robot task scheduling</t>
  </si>
  <si>
    <t>QAOA performance analysis on NISQ devices; realistic expectations for robots</t>
  </si>
  <si>
    <t>Comprehensive review of VQE, QAOA, VQC for optimization</t>
  </si>
  <si>
    <t>QAOA for multi-agent resource allocation; applicable to swarm robotics</t>
  </si>
  <si>
    <t>Comprehensive QML introduction; robotics applications mentioned</t>
  </si>
  <si>
    <t>Quantum kernel methods for ML; applicable to robot perception</t>
  </si>
  <si>
    <t>Quantum kernel methods for classification; demonstrated on IBM hardware</t>
  </si>
  <si>
    <t>Quantum convolutional layers for robot vision</t>
  </si>
  <si>
    <t>Survey of QML techniques for robot vision and object detection</t>
  </si>
  <si>
    <t>First experimental quantum Kalman filter demonstration</t>
  </si>
  <si>
    <t>Quantum state estimation methods; framework for robot belief state</t>
  </si>
  <si>
    <t>Quantum-enhanced localization; theoretical foundation for robot positioning</t>
  </si>
  <si>
    <t>Overview of optimal control methods for quantum systems</t>
  </si>
  <si>
    <t>Comprehensive review of quantum optimal control and synthesis</t>
  </si>
  <si>
    <t>Overview of feedback control in quantum systems</t>
  </si>
  <si>
    <t>Foundational paper on quantum clustering and anomaly detection</t>
  </si>
  <si>
    <t>Quantum principal component analysis for anomaly detection</t>
  </si>
  <si>
    <t>Survey of ML for fault diagnosis; quantum methods as next frontier</t>
  </si>
  <si>
    <t>Foundational BB84 protocol for QKD</t>
  </si>
  <si>
    <t>E91 protocol using entanglement for QKD</t>
  </si>
  <si>
    <t>Comprehensive QKD security review; practical considerations for robots</t>
  </si>
  <si>
    <t>Quantum repeater network for long-range secure robot communication</t>
  </si>
  <si>
    <t>Quantum protocol for unforgeable signatures; robot authentication</t>
  </si>
  <si>
    <t>Foundational Grover's algorithm for quantum search/sampling</t>
  </si>
  <si>
    <t>Theoretical √N speedup for quantum Monte Carlo sampling</t>
  </si>
  <si>
    <t>Quantum nearest-neighbor via Grover; foundation for particle filtering</t>
  </si>
  <si>
    <t>Foundational HHL algorithm for solving linear systems; potential for inverse kinematics</t>
  </si>
  <si>
    <t>Improvements to HHL for robotics applications</t>
  </si>
  <si>
    <t>General quantum matrix operations for robot learning</t>
  </si>
  <si>
    <t>Foundational quantum walk algorithm for graph exploration</t>
  </si>
  <si>
    <t>Survey of quantum walks; applicable to robot navigation</t>
  </si>
  <si>
    <t>QAOA for MaxCut with improved convergence; robot task scheduling</t>
  </si>
  <si>
    <t>Seminal quantum-inspired RL on real mobile robot; only existing quantum-robotics paper</t>
  </si>
  <si>
    <t>Defining paper on near-term quantum devices; realistic expectations for robotics</t>
  </si>
  <si>
    <t>Shows quantum advantage can be dequantized; critique of quantum-inspired claims</t>
  </si>
  <si>
    <t>Critical challenge for quantum ML on near-term devices</t>
  </si>
  <si>
    <t>Survey of hybrid quantum-classical approaches for robot control</t>
  </si>
  <si>
    <t>Canonical reference for robot uncertainty; classical baseline for quantum comparison</t>
  </si>
  <si>
    <t>Open Access</t>
  </si>
  <si>
    <t>Paywalled (IEEE)</t>
  </si>
  <si>
    <t>Paywalled (Nature); Author PDF available</t>
  </si>
  <si>
    <t>Paywalled (Nature); Author PDF</t>
  </si>
  <si>
    <t>Paywalled (Nature)</t>
  </si>
  <si>
    <t>Paywalled (APS); Author PDF</t>
  </si>
  <si>
    <t>Paywalled (ScienceDirect)</t>
  </si>
  <si>
    <t>Open Access (Classic)</t>
  </si>
  <si>
    <t>Paywalled (QIC); arXiv available</t>
  </si>
  <si>
    <t>Open Access (arXiv)</t>
  </si>
  <si>
    <t>Paywalled (Taylor &amp; Francis); Author PDF</t>
  </si>
  <si>
    <t>Paywalled (book); PDF available online</t>
  </si>
  <si>
    <t>https://arxiv.org/abs/1411.4028</t>
  </si>
  <si>
    <t>DOI: 10.1109/QCE.2019.00033</t>
  </si>
  <si>
    <t>https://arxiv.org/abs/1812.07589</t>
  </si>
  <si>
    <t>DOI: 10.1038/s42254-021-00348-9</t>
  </si>
  <si>
    <t>https://arxiv.org/abs/2001.05824</t>
  </si>
  <si>
    <t>DOI: 10.1038/nature23474</t>
  </si>
  <si>
    <t>DOI: 10.1038/s41467-022-32464-2</t>
  </si>
  <si>
    <t>DOI: 10.1038/s41586-019-0980-2</t>
  </si>
  <si>
    <t>DOI: 10.1109/ACCESS.2020.3034196</t>
  </si>
  <si>
    <t>DOI: 10.1007/s42484-021-00065-7</t>
  </si>
  <si>
    <t>https://arxiv.org/abs/2206.14118</t>
  </si>
  <si>
    <t>DOI: 10.1038/ncomms1147</t>
  </si>
  <si>
    <t>https://arxiv.org/abs/2108.04817</t>
  </si>
  <si>
    <t>DOI: 10.1088/1367-2630/12/7/075008</t>
  </si>
  <si>
    <t>https://arxiv.org/abs/2205.04992</t>
  </si>
  <si>
    <t>DOI: 10.1103/RevModPhys.80.1011</t>
  </si>
  <si>
    <t>https://arxiv.org/abs/1307.0411</t>
  </si>
  <si>
    <t>https://arxiv.org/abs/2011.10027</t>
  </si>
  <si>
    <t>DOI: 10.1016/j.ymssp.2017.06.034</t>
  </si>
  <si>
    <t>Classic paper</t>
  </si>
  <si>
    <t>DOI: 10.1103/PhysRevLett.67.661</t>
  </si>
  <si>
    <t>DOI: 10.1103/RevModPhys.81.1301</t>
  </si>
  <si>
    <t>DOI: 10.1038/s41586-022-04891-0</t>
  </si>
  <si>
    <t>https://arxiv.org/abs/quant-ph/0105098</t>
  </si>
  <si>
    <t>https://arxiv.org/abs/quant-ph/9605043</t>
  </si>
  <si>
    <t>DOI: 10.1098/rspa.2015.0301</t>
  </si>
  <si>
    <t>https://arxiv.org/abs/1401.2142</t>
  </si>
  <si>
    <t>https://arxiv.org/abs/0811.3171</t>
  </si>
  <si>
    <t>DOI: 10.1103/PhysRevLett.110.250504</t>
  </si>
  <si>
    <t>https://arxiv.org/abs/1806.01838</t>
  </si>
  <si>
    <t>https://arxiv.org/abs/quant-ph/0012090</t>
  </si>
  <si>
    <t>DOI: 10.1080/00107151031000110776</t>
  </si>
  <si>
    <t>DOI: 10.22331/q-2020-04-20-256</t>
  </si>
  <si>
    <t>DOI: 10.1109/TMECH.2010.2090896</t>
  </si>
  <si>
    <t>DOI: 10.22331/q-2018-08-06-79</t>
  </si>
  <si>
    <t>https://arxiv.org/abs/1811.04271</t>
  </si>
  <si>
    <t>DOI: 10.1038/s41467-021-21728-0</t>
  </si>
  <si>
    <t>https://arxiv.org/abs/2109.12484</t>
  </si>
  <si>
    <t>https://docs.ufpr.br/~danielsantos/ProbabilisticRobotics.pdf</t>
  </si>
  <si>
    <t>★★★★★</t>
  </si>
  <si>
    <t>★★★★☆</t>
  </si>
  <si>
    <t>★★★☆☆</t>
  </si>
  <si>
    <t>#</t>
  </si>
  <si>
    <t>Algorithmic / theoretical</t>
  </si>
  <si>
    <t>Does it outperform classical optimization for realistic robot problems?</t>
  </si>
  <si>
    <t>Algorithmic</t>
  </si>
  <si>
    <t>Scalability and practical hardware advantage</t>
  </si>
  <si>
    <t>Review</t>
  </si>
  <si>
    <t>Theoretical / experimental</t>
  </si>
  <si>
    <t>Experimental</t>
  </si>
  <si>
    <t>Small datasets and hardware limitations</t>
  </si>
  <si>
    <t>Whether it scales to real robotic vision</t>
  </si>
  <si>
    <t>Survey</t>
  </si>
  <si>
    <t>Need stronger real-world robotic experiments</t>
  </si>
  <si>
    <t>Theoretical</t>
  </si>
  <si>
    <t>Practical implementation / noise / scalability</t>
  </si>
  <si>
    <t>Integration with real robotic sensors</t>
  </si>
  <si>
    <t>Mapping to practical robot belief states</t>
  </si>
  <si>
    <t>Review / theoretical</t>
  </si>
  <si>
    <t>Mostly control of quantum systems, not physical robots</t>
  </si>
  <si>
    <t>Limited direct robotics validation</t>
  </si>
  <si>
    <t>Limited robotic-system validation</t>
  </si>
  <si>
    <t>Need comparison with established classical methods</t>
  </si>
  <si>
    <t>Foundational</t>
  </si>
  <si>
    <t>Hardware/network integration for robotics</t>
  </si>
  <si>
    <t>Practical deployment complexity</t>
  </si>
  <si>
    <t>Practical robotic network implementation</t>
  </si>
  <si>
    <t>Quantum network infrastructure is immature</t>
  </si>
  <si>
    <t>Actual navigation advantage not established</t>
  </si>
  <si>
    <t>Experimental / algorithmic</t>
  </si>
  <si>
    <t>Still constrained by NISQ hardware</t>
  </si>
  <si>
    <t>Input/output and data-loading bottlenecks</t>
  </si>
  <si>
    <t>Difficult practical robotics implementation</t>
  </si>
  <si>
    <t>Practical quantum advantage unclear</t>
  </si>
  <si>
    <t>Requires fault-tolerant quantum computing in many formulations</t>
  </si>
  <si>
    <t>Robot experiment</t>
  </si>
  <si>
    <t>Robotics review</t>
  </si>
  <si>
    <t>Need real hardware demonstrations</t>
  </si>
  <si>
    <t>Robotics applications remain largely exploratory</t>
  </si>
  <si>
    <t>Classical reference</t>
  </si>
  <si>
    <t>Robotics Function</t>
  </si>
  <si>
    <t>Type</t>
  </si>
  <si>
    <t>Serves</t>
  </si>
  <si>
    <t>Gap Relevance</t>
  </si>
  <si>
    <t>Planning &amp; Control</t>
  </si>
  <si>
    <t>Quantum</t>
  </si>
  <si>
    <t>Low</t>
  </si>
  <si>
    <t>Foundations</t>
  </si>
  <si>
    <t>Multi-Robot Coordination</t>
  </si>
  <si>
    <t>Medium</t>
  </si>
  <si>
    <t>Learning</t>
  </si>
  <si>
    <t>Perception</t>
  </si>
  <si>
    <t>Localisation &amp; Navigation</t>
  </si>
  <si>
    <t>Diagnostics</t>
  </si>
  <si>
    <t>Classical baseline</t>
  </si>
  <si>
    <t>Communication &amp; Security</t>
  </si>
  <si>
    <t>Cognition &amp; Decision</t>
  </si>
  <si>
    <t>Quantum-inspired</t>
  </si>
  <si>
    <t>Both</t>
  </si>
  <si>
    <t>High</t>
  </si>
  <si>
    <t>Quantum Cognition (Foundations)</t>
  </si>
  <si>
    <t>Busemeyer, J.R., Bruza, P.D.</t>
  </si>
  <si>
    <t>Quantum Models of Cognition and Decision</t>
  </si>
  <si>
    <t>Cambridge University Press (2nd ed. 2024)</t>
  </si>
  <si>
    <t>Canonical text; Hilbert-space quantum-probability framework for judgment &amp; decision — core theory for the cognition model</t>
  </si>
  <si>
    <t>Paywalled (book)</t>
  </si>
  <si>
    <t>DOI: 10.1017/CBO9780511997716</t>
  </si>
  <si>
    <t>Pothos, E.M., Busemeyer, J.R.</t>
  </si>
  <si>
    <t>Can quantum probability provide a new direction for cognitive modeling?</t>
  </si>
  <si>
    <t>Behavioral and Brain Sciences, 36(3)</t>
  </si>
  <si>
    <t>Field-defining target article; interference, order/context and superposition effects in cognition</t>
  </si>
  <si>
    <t>Paywalled (Cambridge)</t>
  </si>
  <si>
    <t>DOI: 10.1017/S0140525X12001525</t>
  </si>
  <si>
    <t>Quantum cognition</t>
  </si>
  <si>
    <t>Annual Review of Psychology, 73</t>
  </si>
  <si>
    <t>Most recent authoritative review of the field; position the survey against this</t>
  </si>
  <si>
    <t>Paywalled (Annual Reviews)</t>
  </si>
  <si>
    <t>Annu Rev Psychol 73:749-778</t>
  </si>
  <si>
    <t>Bruza, P.D., Wang, Z., Busemeyer, J.R.</t>
  </si>
  <si>
    <t>Quantum cognition: a new theoretical approach to psychology</t>
  </si>
  <si>
    <t>Trends in Cognitive Sciences, 19(7)</t>
  </si>
  <si>
    <t>Compact, highly-cited review; good scaffold for the survey's cognition section</t>
  </si>
  <si>
    <t>Paywalled (Cell Press)</t>
  </si>
  <si>
    <t>Trends Cogn Sci 19(7):383-393</t>
  </si>
  <si>
    <t>Busemeyer, J.R., Pothos, E.M., Franco, R., Trueblood, J.S.</t>
  </si>
  <si>
    <t>A quantum theoretical explanation for probability judgment errors</t>
  </si>
  <si>
    <t>Psychological Review, 118(2)</t>
  </si>
  <si>
    <t>Conjunction/disjunction fallacies via quantum probability; canonical empirical model to emulate</t>
  </si>
  <si>
    <t>Paywalled (APA)</t>
  </si>
  <si>
    <t>Psychol Rev 118(2):193-218</t>
  </si>
  <si>
    <t>Model</t>
  </si>
  <si>
    <t>Wang, Z., Busemeyer, J.R., Atmanspacher, H., Pothos, E.M.</t>
  </si>
  <si>
    <t>The potential of using quantum theory to build models of cognition</t>
  </si>
  <si>
    <t>Topics in Cognitive Science, 5(4)</t>
  </si>
  <si>
    <t>Roadmap for building quantum cognitive models — direct template for the model paper</t>
  </si>
  <si>
    <t>Top Cogn Sci 5(4):672-688</t>
  </si>
  <si>
    <t>Aerts, D.</t>
  </si>
  <si>
    <t>Quantum structure in cognition</t>
  </si>
  <si>
    <t>Journal of Mathematical Psychology, 53(5)</t>
  </si>
  <si>
    <t>Concept combination and entanglement in cognition; alternative quantum formalism</t>
  </si>
  <si>
    <t>J Math Psychol 53(5):314-348</t>
  </si>
  <si>
    <t>Khrennikov, A.</t>
  </si>
  <si>
    <t>Ubiquitous Quantum Structure: From Psychology to Finance</t>
  </si>
  <si>
    <t>Springer</t>
  </si>
  <si>
    <t>Broad quantum-like modelling reference; open-systems approach to decision</t>
  </si>
  <si>
    <t>Springer, ISBN 978-3-642-05101-2</t>
  </si>
  <si>
    <t>Quantum Cognition in Robotics</t>
  </si>
  <si>
    <t>Yan, F., Iliyasu, A.M., Li, N., Salama, A.S., Hirota, K.</t>
  </si>
  <si>
    <t>Quantum robotics: a review of emerging trends</t>
  </si>
  <si>
    <t>Quantum Machine Intelligence, 6(2)</t>
  </si>
  <si>
    <t>MOST RECENT survey of quantum robotics — the paper the survey must position itself against</t>
  </si>
  <si>
    <t>Quantum Mach Intell 6(2):86</t>
  </si>
  <si>
    <t>Widdows, D., Rani, J., Pothos, E.M.</t>
  </si>
  <si>
    <t>Quantum circuit components for cognitive decision-making</t>
  </si>
  <si>
    <t>Entropy, 25(4)</t>
  </si>
  <si>
    <t>Implements quantum-probability decision models as actual quantum circuits — direct precedent for the model paper</t>
  </si>
  <si>
    <t>Entropy 25(4):548</t>
  </si>
  <si>
    <t>Yan, F., Iliyasu, A.M., Hirota, K.</t>
  </si>
  <si>
    <t>Conceptual framework for quantum affective computing and its use in fusion of multi-robot emotions</t>
  </si>
  <si>
    <t>Electronics, 10(2)</t>
  </si>
  <si>
    <t>Quantum model of robot affect/emotion; multi-robot cognitive fusion</t>
  </si>
  <si>
    <t>Electronics 10:100</t>
  </si>
  <si>
    <t>QUADRI Project (ACM UMAP)</t>
  </si>
  <si>
    <t>Quantum-enhanced social robotics: the QUADRI project</t>
  </si>
  <si>
    <t>Adjunct Proc. ACM UMAP 2025</t>
  </si>
  <si>
    <t>Very recent quantum-cognition-for-social-robots project; confirms a live research front</t>
  </si>
  <si>
    <t>DOI: 10.1145/3708319.3735545</t>
  </si>
  <si>
    <t>Author not specified (see DOI)</t>
  </si>
  <si>
    <t>A generative neuro-cognitive architecture using quantum algorithms for the autonomous behavior of a smart agent</t>
  </si>
  <si>
    <t>Computers, Materials &amp; Continua</t>
  </si>
  <si>
    <t>Quantum cognitive architecture (Grover/Deutsch-Jozsa) for autonomous agent behaviour — recent bridge</t>
  </si>
  <si>
    <t>DOI: 10.32604/cmc.2025.065572</t>
  </si>
  <si>
    <t>Moreira, P.C.</t>
  </si>
  <si>
    <t>Quantum probabilistic graphical models for cognition and decision</t>
  </si>
  <si>
    <t>PhD Thesis, Universidade de Lisboa</t>
  </si>
  <si>
    <t>Quantum Bayesian networks for decision under uncertainty — method for robot belief/decision modelling</t>
  </si>
  <si>
    <t>Univ. de Lisboa</t>
  </si>
  <si>
    <t>Survey Outline — Quantum Robotics (Computing + Cognition)</t>
  </si>
  <si>
    <t>Paper 1 = scoped quantum-robotics survey (computing + cognition branches). Deep chapter (§6) motivates Paper 2 (quantum cognition model).</t>
  </si>
  <si>
    <t>Section</t>
  </si>
  <si>
    <t>What to cover</t>
  </si>
  <si>
    <t>Feeds from (Papers categories)</t>
  </si>
  <si>
    <t>Priority</t>
  </si>
  <si>
    <t>Introduction &amp; Scope</t>
  </si>
  <si>
    <t>Define quantum robotics; state that scope = quantum-computing + quantum-cognition methods (sensing/metrology surveyed elsewhere, e.g. Yan et al. 2024); contributions &amp; structure</t>
  </si>
  <si>
    <t>—</t>
  </si>
  <si>
    <t>Essential</t>
  </si>
  <si>
    <t>Background: Quantum Computing Foundations</t>
  </si>
  <si>
    <t>Qubits, gates, entanglement; key algorithms (Grover, HHL, Shor); quantum walks; enough for a robotics reader</t>
  </si>
  <si>
    <t>Quantum Computing Foundations; Linear Algebra; Monte Carlo; Graph</t>
  </si>
  <si>
    <t>Quantum Hardware &amp; NISQ Reality Check</t>
  </si>
  <si>
    <t>Device limits, error rates, decoherence, latency; why real-time robot control is hard today; feasibility</t>
  </si>
  <si>
    <t>Quantum Hardware &amp; NISQ</t>
  </si>
  <si>
    <t>Quantum Computing Methods in Robotics (by task)</t>
  </si>
  <si>
    <t>Organise by robotic function: optimization (planning, task allocation), linear algebra (kinematics), search/sampling (navigation), perception, control</t>
  </si>
  <si>
    <t>Quantum Optimization; Linear Algebra; Monte Carlo; Graph; QML; Sensor Fusion; Control</t>
  </si>
  <si>
    <t>Core</t>
  </si>
  <si>
    <t>Quantum ML, RL &amp; Learning Agents (the bridge)</t>
  </si>
  <si>
    <t>QML, quantum neural nets, quantum RL, projective simulation, learning agents — links computing to cognition</t>
  </si>
  <si>
    <t>Quantum ML, RL &amp; Agents; QML</t>
  </si>
  <si>
    <t>Quantum Cognition for Robot Decision-Making</t>
  </si>
  <si>
    <t>Quantum-probability models of decision/judgment; quantum-like agents; apply to robot/autonomous decision — DEEP chapter; identifies the gap</t>
  </si>
  <si>
    <t>Quantum Cognition (Foundations); Quantum Cognition in Robotics</t>
  </si>
  <si>
    <t>DEEP → Paper 2</t>
  </si>
  <si>
    <t>Supporting Branches (brief)</t>
  </si>
  <si>
    <t>Quantum sensing/metrology on robots; quantum communication &amp; security for multi-robot/swarm — covered briefly to bound scope</t>
  </si>
  <si>
    <t>Quantum Cryptography; Communication &amp; Security</t>
  </si>
  <si>
    <t>Brief</t>
  </si>
  <si>
    <t>Quantum-inspired vs Genuinely-Quantum</t>
  </si>
  <si>
    <t>Dequantization critique; which methods need real quantum hardware vs classical simulation; honest appraisal</t>
  </si>
  <si>
    <t>Type column; Tang 2019; Cerezo barren plateaus</t>
  </si>
  <si>
    <t>Critical</t>
  </si>
  <si>
    <t>Open Challenges &amp; Future Directions</t>
  </si>
  <si>
    <t>Synthesise gaps; concrete first problems; motivate the quantum cognition model (Paper 2) as the next step</t>
  </si>
  <si>
    <t>Gap Relevance = High rows</t>
  </si>
  <si>
    <t>Essential → Paper 2</t>
  </si>
  <si>
    <t>Conclusion</t>
  </si>
  <si>
    <t>Recap taxonomy, maturity of the field, and the runway to original contributions</t>
  </si>
  <si>
    <t>Quantum ML, RL &amp; Agents</t>
  </si>
  <si>
    <t>Dunjko, V., Briegel, H.J.</t>
  </si>
  <si>
    <t>Machine learning &amp; artificial intelligence in the quantum domain: a review of recent progress</t>
  </si>
  <si>
    <t>Reports on Progress in Physics, 81(7)</t>
  </si>
  <si>
    <t>Definitive review of quantum ML/AI incl. learning agents — backbone of the bridge chapter</t>
  </si>
  <si>
    <t>Open Access (arXiv:1709.02779)</t>
  </si>
  <si>
    <t>DOI: 10.1088/1361-6633/aab406</t>
  </si>
  <si>
    <t>Paparo, G.D., Dunjko, V., Makmal, A., Martin-Delgado, M.A., Briegel, H.J.</t>
  </si>
  <si>
    <t>Quantum speedup for active learning agents</t>
  </si>
  <si>
    <t>Physical Review X, 4(3)</t>
  </si>
  <si>
    <t>Quadratic quantum speedup for AI learning agents; foundational quantum-agent result</t>
  </si>
  <si>
    <t>DOI: 10.1103/PhysRevX.4.031002</t>
  </si>
  <si>
    <t>Briegel, H.J., De las Cuevas, G.</t>
  </si>
  <si>
    <t>Projective simulation for artificial intelligence</t>
  </si>
  <si>
    <t>Scientific Reports, 2</t>
  </si>
  <si>
    <t>Psychology- &amp; physics-motivated agent decision model with a natural route to quantization — key cognition bridge</t>
  </si>
  <si>
    <t>DOI: 10.1038/srep00400</t>
  </si>
  <si>
    <t>Dong, D., Chen, C., Li, H., Tarn, T.J.</t>
  </si>
  <si>
    <t>Quantum reinforcement learning</t>
  </si>
  <si>
    <t>IEEE Trans. SMC, Part B, 38(5)</t>
  </si>
  <si>
    <t>The founding QRL paper (superposition-based value updating) — basis for quantum RL in robots</t>
  </si>
  <si>
    <t>DOI: 10.1109/TSMCB.2008.925743</t>
  </si>
  <si>
    <t>Heimann, D., Hohenfeld, H., Wiebe, F., Kirchner, F.</t>
  </si>
  <si>
    <t>Quantum deep reinforcement learning for robot navigation tasks</t>
  </si>
  <si>
    <t>arXiv:2202.12180 (IEEE Access 2024)</t>
  </si>
  <si>
    <t>Recent, directly on-point: quantum deep RL applied to robot navigation</t>
  </si>
  <si>
    <t>arXiv:2202.12180</t>
  </si>
  <si>
    <t>Bharti, K., Cervera-Lierta, A., Kyaw, T.H., et al.</t>
  </si>
  <si>
    <t>Noisy intermediate-scale quantum (NISQ) algorithms</t>
  </si>
  <si>
    <t>Reviews of Modern Physics, 94(1)</t>
  </si>
  <si>
    <t>Comprehensive NISQ algorithms + hardware limits — anchors the reality-check chapter</t>
  </si>
  <si>
    <t>Open Access (arXiv:2101.08448)</t>
  </si>
  <si>
    <t>DOI: 10.1103/RevModPhys.94.015004</t>
  </si>
  <si>
    <t>Arute, F., et al. (Google AI Quantum)</t>
  </si>
  <si>
    <t>Quantum supremacy using a programmable superconducting processor</t>
  </si>
  <si>
    <t>Nature, 574</t>
  </si>
  <si>
    <t>Milestone hardware demonstration; context for what current devices can do</t>
  </si>
  <si>
    <t>Nature 574:505-510</t>
  </si>
  <si>
    <t>Quantum Computing Foundations</t>
  </si>
  <si>
    <t>Nielsen, M.A., Chuang, I.L.</t>
  </si>
  <si>
    <t>Quantum Computation and Quantum Information (10th Anniversary Edition)</t>
  </si>
  <si>
    <t>Cambridge University Press</t>
  </si>
  <si>
    <t>The standard QC textbook — cite for algorithm/notation background throughout</t>
  </si>
  <si>
    <t>ISBN 978-1-107-00217-3</t>
  </si>
  <si>
    <t>Shor, P.W.</t>
  </si>
  <si>
    <t>Polynomial-time algorithms for prime factorization and discrete logarithms on a quantum computer</t>
  </si>
  <si>
    <t>SIAM J. Computing, 26(5)</t>
  </si>
  <si>
    <t>Foundational quantum algorithm; motivates the post-quantum crypto threat to robot security</t>
  </si>
  <si>
    <t>DOI: 10.1137/S0097539795293172</t>
  </si>
  <si>
    <t>Dong, D., et al. (authors to confirm at DOI)</t>
  </si>
  <si>
    <t>Quantum robot: structure, algorithms and applications</t>
  </si>
  <si>
    <t>Robotica, 24(4)</t>
  </si>
  <si>
    <t>Early paper coining the 'quantum robot' concept and architecture</t>
  </si>
  <si>
    <t>DOI: 10.1017/S0263574705002596</t>
  </si>
  <si>
    <t>Evidence Type</t>
  </si>
  <si>
    <t>Open Question / Limitation (for survey)</t>
  </si>
  <si>
    <t>Does NISQ-era performance hold at robot-scale instances?</t>
  </si>
  <si>
    <t>Mostly general VQAs, not robotics-specific validation</t>
  </si>
  <si>
    <t>Scalability to realistic swarm sizes on hardware</t>
  </si>
  <si>
    <t>Data encoding and genuine quantum advantage</t>
  </si>
  <si>
    <t>Does the feature-map advantage survive on noisy hardware?</t>
  </si>
  <si>
    <t>Data-loading assumptions; robotic validation needed</t>
  </si>
  <si>
    <t>Review / foundational</t>
  </si>
  <si>
    <t>Practical deployment for mobile robots</t>
  </si>
  <si>
    <t>Foundational / theoretical</t>
  </si>
  <si>
    <t>Requires fault-tolerant QC for many robot formulations</t>
  </si>
  <si>
    <t>Data-loading / conditioning bottlenecks in practice</t>
  </si>
  <si>
    <t>Bridges to navigation only conceptually</t>
  </si>
  <si>
    <t>Not actual quantum computing (quantum-inspired)</t>
  </si>
  <si>
    <t>Important for critically evaluating robotics quantum-advantage claims</t>
  </si>
  <si>
    <t>Major barrier to scalable QML training</t>
  </si>
  <si>
    <t>Baseline to prove quantum methods actually improve robotics</t>
  </si>
  <si>
    <t>Theoretical (book)</t>
  </si>
  <si>
    <t>How to operationalise the QP framework inside an autonomous robot?</t>
  </si>
  <si>
    <t>Theoretical / review</t>
  </si>
  <si>
    <t>Evidence is human-behavioural; does it transfer to robot decision policies?</t>
  </si>
  <si>
    <t>What does a newcomer add beyond this authoritative review?</t>
  </si>
  <si>
    <t>Compact overview; lacks robotics/agent instantiation</t>
  </si>
  <si>
    <t>Empirical / model</t>
  </si>
  <si>
    <t>Judgment-error model — can it drive robot inference under uncertainty?</t>
  </si>
  <si>
    <t>Theoretical / roadmap</t>
  </si>
  <si>
    <t>Roadmap for humans; needs an agent/robot construction</t>
  </si>
  <si>
    <t>Concept-combination formalism; unclear robotic mapping</t>
  </si>
  <si>
    <t>Broad quantum-like modelling; robot decision use not demonstrated</t>
  </si>
  <si>
    <t>Competing survey — must position &amp; differentiate (computing+cognition scope)</t>
  </si>
  <si>
    <t>Circuits validated on cognition tasks, not yet on a robot</t>
  </si>
  <si>
    <t>Theoretical / framework</t>
  </si>
  <si>
    <t>Conceptual framework; needs an implemented multi-robot demo</t>
  </si>
  <si>
    <t>Project / experimental</t>
  </si>
  <si>
    <t>Early-stage; results and generality still emerging</t>
  </si>
  <si>
    <t>Experimental (simulation)</t>
  </si>
  <si>
    <t>Simulation only; authors to confirm; real-robot transfer open</t>
  </si>
  <si>
    <t>Theoretical / model</t>
  </si>
  <si>
    <t>Quantum Bayesian nets for decision; robot deployment untested</t>
  </si>
  <si>
    <t>Broad QML/AI review; agent results not robot-validated</t>
  </si>
  <si>
    <t>Quadratic speedup proven abstractly; robotic realisation open</t>
  </si>
  <si>
    <t>Elegant agent model; quantum advantage &amp; robot use still to establish</t>
  </si>
  <si>
    <t>Foundational QRL; convergence &amp; real-robot scaling open</t>
  </si>
  <si>
    <t>Robot / simulation experiment</t>
  </si>
  <si>
    <t>Small NISQ policies; does advantage persist at scale?</t>
  </si>
  <si>
    <t>Which subset of NISQ methods is realistic for real-time robotics?</t>
  </si>
  <si>
    <t>Supremacy task is non-robotic; contextual only</t>
  </si>
  <si>
    <t>Reference (book)</t>
  </si>
  <si>
    <t>Background reference; no robotics content</t>
  </si>
  <si>
    <t>Motivates crypto threat; needs fault-tolerant hardware</t>
  </si>
  <si>
    <t>Theoretical / conceptual</t>
  </si>
  <si>
    <t>Early concept; little empirical follow-through</t>
  </si>
  <si>
    <t>Quantum Sensing &amp; Metrology</t>
  </si>
  <si>
    <t>Degen, C.L., Reinhard, F., Cappellaro, P.</t>
  </si>
  <si>
    <t>Quantum sensing</t>
  </si>
  <si>
    <t>Reviews of Modern Physics, 89(3)</t>
  </si>
  <si>
    <t>Definitive review of quantum sensors (magnetometry, atomic clocks, NV centres) — basis for quantum-enhanced robot perception/navigation</t>
  </si>
  <si>
    <t>Open Access (arXiv:1611.02427)</t>
  </si>
  <si>
    <t>DOI: 10.1103/RevModPhys.89.035002</t>
  </si>
  <si>
    <t>Sensing hardware is mature but robot integration / size-weight-power constraints largely unaddressed</t>
  </si>
  <si>
    <t>Quantum algorithms: an overview</t>
  </si>
  <si>
    <t>npj Quantum Information, 2</t>
  </si>
  <si>
    <t>Concise map of quantum algorithms and their speedups — ideal background for the algorithms chapter</t>
  </si>
  <si>
    <t>DOI: 10.1038/npjqi.2015.23</t>
  </si>
  <si>
    <t>Broad overview; robotics applications not specifically addressed</t>
  </si>
  <si>
    <t>Skolik, A., Jerbi, S., Dunjko, V.</t>
  </si>
  <si>
    <t>Quantum agents in the Gym: a variational quantum algorithm for deep Q-learning</t>
  </si>
  <si>
    <t>Quantum, 6</t>
  </si>
  <si>
    <t>VQC-based deep Q-learning agents on Gym tasks — practical template for quantum RL policies</t>
  </si>
  <si>
    <t>DOI: 10.22331/q-2022-05-24-720</t>
  </si>
  <si>
    <t>Competitive with classical NNs only on simple benchmarks; scaling open</t>
  </si>
  <si>
    <t>Jerbi, S., Gyurik, C., Marshall, S.C., Briegel, H.J., Dunjko, V.</t>
  </si>
  <si>
    <t>Parametrized quantum policies for reinforcement learning</t>
  </si>
  <si>
    <t>NeurIPS, 34</t>
  </si>
  <si>
    <t>Quantum policy-gradient RL with proven learning separations — theoretical backbone for quantum robot policies</t>
  </si>
  <si>
    <t>Open Access (arXiv:2103.05577)</t>
  </si>
  <si>
    <t>arXiv:2103.05577 (NeurIPS 2021)</t>
  </si>
  <si>
    <t>Separations shown on constructed tasks; real-robot relevance to establish</t>
  </si>
  <si>
    <t>Sinha, A., Macaluso, A., Klusch, M.</t>
  </si>
  <si>
    <t>Nav-Q: quantum deep reinforcement learning for collision-free navigation of self-driving cars</t>
  </si>
  <si>
    <t>arXiv:2311.12875 (IEEE QCE)</t>
  </si>
  <si>
    <t>Directly on-point: quantum deep RL for autonomous-vehicle collision-free navigation</t>
  </si>
  <si>
    <t>arXiv:2311.12875</t>
  </si>
  <si>
    <t>Simulation experiment</t>
  </si>
  <si>
    <t>Simulation only; NISQ hardware feasibility for real vehicles open</t>
  </si>
  <si>
    <t>Multi-Robot / Swarm Robotics</t>
  </si>
  <si>
    <t>Mannone, M., Seidita, V., Chella, A.</t>
  </si>
  <si>
    <t>Modeling and designing a robotic swarm: a quantum computing approach</t>
  </si>
  <si>
    <t>Swarm and Evolutionary Computation, 79</t>
  </si>
  <si>
    <t>Quantum-computing formulation of swarm design &amp; coordination — fills the multi-robot gap</t>
  </si>
  <si>
    <t>Paywalled (Elsevier)</t>
  </si>
  <si>
    <t>Swarm Evol Comput 79:101297</t>
  </si>
  <si>
    <t>Algorithmic / conceptual</t>
  </si>
  <si>
    <t>Conceptual/simulation; hardware-scale swarm demonstrations absent</t>
  </si>
  <si>
    <t>Quantum computing for swarm robotics: a local-to-global approach</t>
  </si>
  <si>
    <t>Phil. Trans. R. Soc. A, 383(2289)</t>
  </si>
  <si>
    <t>Recent review of quantum formalisations of swarm dynamics &amp; multi-robot decision — strong multi-robot anchor</t>
  </si>
  <si>
    <t>DOI: 10.1098/rsta.2024.0139</t>
  </si>
  <si>
    <t>Formalism-level; empirical multi-robot validation still needed</t>
  </si>
  <si>
    <t>Masood, A., Gao, F., Liu, C., et al.</t>
  </si>
  <si>
    <t>A robot SLAM improved by quantum-behaved particle swarm optimization</t>
  </si>
  <si>
    <t>Mathematical Problems in Engineering, 2018</t>
  </si>
  <si>
    <t>Quantum-behaved PSO applied to robot SLAM — concrete quantum-inspired localisation/mapping</t>
  </si>
  <si>
    <t>Math Probl Eng 2018:1596080</t>
  </si>
  <si>
    <t>Algorithmic / experimental</t>
  </si>
  <si>
    <t>Quantum-behaved PSO is a classical metaheuristic, not quantum computing</t>
  </si>
  <si>
    <t>Outline §</t>
  </si>
  <si>
    <t>Read status</t>
  </si>
  <si>
    <t>Key takeaway / notes</t>
  </si>
  <si>
    <t>§4</t>
  </si>
  <si>
    <t>To read</t>
  </si>
  <si>
    <t>§2</t>
  </si>
  <si>
    <t>§5</t>
  </si>
  <si>
    <t>§7</t>
  </si>
  <si>
    <t>§6</t>
  </si>
  <si>
    <t>§3</t>
  </si>
  <si>
    <t>§8</t>
  </si>
  <si>
    <t>§1</t>
  </si>
  <si>
    <t>§5, §6</t>
  </si>
  <si>
    <t>Physical AI / Embodied Foundation Models</t>
  </si>
  <si>
    <t>§9</t>
  </si>
  <si>
    <t>Liu, Y.-X., Wu, L.-A., Nori, F.</t>
  </si>
  <si>
    <t>Quantum Bayesian inference and machine learning</t>
  </si>
  <si>
    <t>Nature Physics, 18(11)</t>
  </si>
  <si>
    <t>Paywalled</t>
  </si>
  <si>
    <t>Tait, A.N., Wu, M.C., Khachaturian, A.H., Prucnal, P.R.</t>
  </si>
  <si>
    <t>Quantum ML in photonic systems</t>
  </si>
  <si>
    <t>Nature Physics, 14(11)</t>
  </si>
  <si>
    <t>Brassard, G., Hoyer, P., Mosca, M., Tapp, A.</t>
  </si>
  <si>
    <t>Quantum amplitude amplification</t>
  </si>
  <si>
    <t>arXiv:quant-ph/0005055</t>
  </si>
  <si>
    <t>Rebentrost, P., Bromley, T.R., Weedbrook, C., Lloyd, S.</t>
  </si>
  <si>
    <t>Quantum ML in Hilbert spaces</t>
  </si>
  <si>
    <t>Phys Rev Lett, 113(13)</t>
  </si>
  <si>
    <t>Ozols, M., Roetteler, M., Roland, J.</t>
  </si>
  <si>
    <t>Quantum rejection sampling</t>
  </si>
  <si>
    <t>ACM ITCS</t>
  </si>
  <si>
    <t>Hohenfeld, H., Heimann, D., Wiebe, F., Kirchner, F.</t>
  </si>
  <si>
    <t>Continuous quantum RL for navigation</t>
  </si>
  <si>
    <t>Fraunhofer / SciTePress</t>
  </si>
  <si>
    <t>Daglarli, E.</t>
  </si>
  <si>
    <t>Khaneja, N., Reiss, T., Kehlet, C., et al.</t>
  </si>
  <si>
    <t>Optimal control of spin dynamics</t>
  </si>
  <si>
    <t>J Magnetic Resonance, 172(2)</t>
  </si>
  <si>
    <t>Aaronson, S.</t>
  </si>
  <si>
    <t>Read the fine print</t>
  </si>
  <si>
    <t>Nature Physics, 11(4)</t>
  </si>
  <si>
    <t>Wang, Z., Solloway, T., Shiffrin, R.M., Busemeyer, J.R.</t>
  </si>
  <si>
    <t>Question order effects reveal quantum nature</t>
  </si>
  <si>
    <t>PNAS, 111(26)</t>
  </si>
  <si>
    <t>Trueblood, J.S., Busemeyer, J.R.</t>
  </si>
  <si>
    <t>Quantum probability account of order effects</t>
  </si>
  <si>
    <t>Cognitive Science, 35(8)</t>
  </si>
  <si>
    <t>Quantum probability explanation</t>
  </si>
  <si>
    <t>Proc Royal Soc B, 276(1665)</t>
  </si>
  <si>
    <t>Aerts, D., Sozzo, S.</t>
  </si>
  <si>
    <t>Quantum structure: concepts are entangled</t>
  </si>
  <si>
    <t>Quantum Interaction 2011</t>
  </si>
  <si>
    <t>Blutner, R., Pothos, E.M., Bruza, P.</t>
  </si>
  <si>
    <t>Quantum perspective on borderline vagueness</t>
  </si>
  <si>
    <t>Topics Cognitive Sci, 5(4)</t>
  </si>
  <si>
    <t>Trueblood, J.S., Hemmer, P.</t>
  </si>
  <si>
    <t>Generalized quantum episodic memory</t>
  </si>
  <si>
    <t>Cognitive Science, 41(8)</t>
  </si>
  <si>
    <t>Khrennikov, A., Basieva, I., Dzhafarov, E.N., Busemeyer, J.R.</t>
  </si>
  <si>
    <t>Quantum models: response-replicability problem</t>
  </si>
  <si>
    <t>PLoS ONE, 9(10)</t>
  </si>
  <si>
    <t>Busemeyer, J.R., Wang, Z., Lambert-Mogiliansky, A.</t>
  </si>
  <si>
    <t>Markov vs quantum models</t>
  </si>
  <si>
    <t>J Mathematical Psychology, 53(5)</t>
  </si>
  <si>
    <t>Yearsley, J.M., Busemeyer, J.R.</t>
  </si>
  <si>
    <t>Quantum cognition: tutorial</t>
  </si>
  <si>
    <t>J Mathematical Psychology, 74</t>
  </si>
  <si>
    <t>Busemeyer, J.R., Townsend, J.T.</t>
  </si>
  <si>
    <t>Quantum dynamics of decision-making</t>
  </si>
  <si>
    <t>J Mathematical Psychology, 50(3)</t>
  </si>
  <si>
    <t>Busemeyer, J.R., Kvam, P.D., Pleskac, T.J.</t>
  </si>
  <si>
    <t>Markov vs quantum dynamic models</t>
  </si>
  <si>
    <t>Scientific Reports, 9</t>
  </si>
  <si>
    <t>Aerts, D., Broekaert, J., Czachor, M., et al.</t>
  </si>
  <si>
    <t>Quantum structure: fundamentals &amp; applications</t>
  </si>
  <si>
    <t>arXiv:1104.3344</t>
  </si>
  <si>
    <t>Widdows, D., Peters, S.</t>
  </si>
  <si>
    <t>Word vectors and quantum logic</t>
  </si>
  <si>
    <t>Mathematics of Language, 8</t>
  </si>
  <si>
    <t>Lorenz, R., Pearson, A., Meichanetzidis, K., et al.</t>
  </si>
  <si>
    <t>QNLP in practice</t>
  </si>
  <si>
    <t>J Artificial Intelligence Research, 76</t>
  </si>
  <si>
    <t>Busemeyer, J.R., Wang, Z.</t>
  </si>
  <si>
    <t>What is quantum cognition?</t>
  </si>
  <si>
    <t>Current Directions Psychological Sci, 24(3)</t>
  </si>
  <si>
    <t>Khrennikov, A.Y.</t>
  </si>
  <si>
    <t>Quantum mechanics on information spaces</t>
  </si>
  <si>
    <t>Foundations Physics, 29(7)</t>
  </si>
  <si>
    <t>Aerts, D., D'Hondt, E., Gabora, L.</t>
  </si>
  <si>
    <t>Why conjunction fallacy is true</t>
  </si>
  <si>
    <t>arXiv:quant-ph/0008033</t>
  </si>
  <si>
    <t>Bruza, P.D., Kitto, K., Nelson, D., McEvoy, C.L.</t>
  </si>
  <si>
    <t>Quantum-like representation of concepts</t>
  </si>
  <si>
    <t>Widdows, D., Kitto, K., Cohen, T.</t>
  </si>
  <si>
    <t>Quantum mathematics in AI</t>
  </si>
  <si>
    <t>J Artificial Intelligence Research, 72</t>
  </si>
  <si>
    <t>Widdows, D., Alexander, A., Zhu, D., et al.</t>
  </si>
  <si>
    <t>Quantum NLP advances</t>
  </si>
  <si>
    <t>Annals Math &amp; AI, 92</t>
  </si>
  <si>
    <t>Widdows, D., Ferraro, G.</t>
  </si>
  <si>
    <t>Quantum logic and structured retrieval</t>
  </si>
  <si>
    <t>IEEE Int Conf Semantic Computing</t>
  </si>
  <si>
    <t>Bruza, P.D., et al.</t>
  </si>
  <si>
    <t>Quantum interaction approach</t>
  </si>
  <si>
    <t>arXiv:1104.3345</t>
  </si>
  <si>
    <t>Chen, S.Y.-C., Yang, C.-H.H., Qi, J., et al.</t>
  </si>
  <si>
    <t>Variational quantum circuits for RL</t>
  </si>
  <si>
    <t>Laird, J.E., Lebiere, C., Rosenbloom, P.S.</t>
  </si>
  <si>
    <t>Standard model of mind</t>
  </si>
  <si>
    <t>AI Magazine, 38(4)</t>
  </si>
  <si>
    <t>Kotseruba, I., Tsotsos, J.K.</t>
  </si>
  <si>
    <t>40 years of cognitive architectures</t>
  </si>
  <si>
    <t>Artificial Intelligence Review, 53</t>
  </si>
  <si>
    <t>Kaelbling, L.P., Littman, M.L., Cassandra, A.R.</t>
  </si>
  <si>
    <t>Planning in POMDPs</t>
  </si>
  <si>
    <t>Artificial Intelligence, 101(1-2)</t>
  </si>
  <si>
    <t>Ha, D., Schmidhuber, J.</t>
  </si>
  <si>
    <t>World models</t>
  </si>
  <si>
    <t>NeurIPS 31</t>
  </si>
  <si>
    <t>Lanza, D., Mastrogiovanni, F., Solinas, G., et al.</t>
  </si>
  <si>
    <t>Quantum-like cognitive architecture (TIAGo++ handover)</t>
  </si>
  <si>
    <t>IIT Genoa DIBRIS</t>
  </si>
  <si>
    <t>Verify Details</t>
  </si>
  <si>
    <t>Lanza, D., Mastrogiovanni, F., Solinas, G.</t>
  </si>
  <si>
    <t>Quantum-inspired probability models (humanoid)</t>
  </si>
  <si>
    <t>Mastrogiovanni, F., Lanza, D., et al.</t>
  </si>
  <si>
    <t>Embodied quantum-like cognition</t>
  </si>
  <si>
    <t>Aerts, D., Gabora, L., Sozzo, S.</t>
  </si>
  <si>
    <t>Concepts and their dynamics: a quantum-theoretic modeling of human thought</t>
  </si>
  <si>
    <t>Paywalled (Wiley)</t>
  </si>
  <si>
    <t>DOI: 10.1111/tops.12042</t>
  </si>
  <si>
    <t>Pothos, E.M., Busemeyer, J.R., Trueblood, J.S.</t>
  </si>
  <si>
    <t>A quantum geometric model of similarity</t>
  </si>
  <si>
    <t>Psychological Review, 120(3)</t>
  </si>
  <si>
    <t>DOI: 10.1037/a0033142</t>
  </si>
  <si>
    <t>Waddup, O.J., Yearsley, J.M., Blasiak, P., Pothos, E.M.</t>
  </si>
  <si>
    <t>Sequence effects and quantum models of constructive memory/judgment</t>
  </si>
  <si>
    <t>Journal of Mathematical Psychology</t>
  </si>
  <si>
    <t>Widdows, D., Aboumrad, W., et al.</t>
  </si>
  <si>
    <t>Quantum natural language processing</t>
  </si>
  <si>
    <t>KI - Künstliche Intelligenz</t>
  </si>
  <si>
    <t>Paywalled (Springer); arXiv</t>
  </si>
  <si>
    <t>DOI: 10.1007/s13218-024-00861-w</t>
  </si>
  <si>
    <t>Yun, W.J., Park, J., et al.</t>
  </si>
  <si>
    <t>Quantum multi-agent reinforcement learning via variational quantum circuit design</t>
  </si>
  <si>
    <t>IEEE ICDCS 2022</t>
  </si>
  <si>
    <t>Paywalled (IEEE); arXiv</t>
  </si>
  <si>
    <t>arXiv:2203.10443</t>
  </si>
  <si>
    <t>Chen, S.Y.-C., Huang, C.-M., Hsing, C.-W., Goan, H.-S., Kao, Y.-J.</t>
  </si>
  <si>
    <t>Variational quantum reinforcement learning via evolutionary optimization</t>
  </si>
  <si>
    <t>Machine Learning: Science and Technology, 3(1)</t>
  </si>
  <si>
    <t>Paywalled (IOP)</t>
  </si>
  <si>
    <t>DOI: 10.1088/2632-2153/ac4559</t>
  </si>
  <si>
    <t>Mitarai, K., Negoro, M., Kitagawa, M., Fujii, K.</t>
  </si>
  <si>
    <t>Quantum circuit learning</t>
  </si>
  <si>
    <t>Physical Review A, 98</t>
  </si>
  <si>
    <t>Paywalled (APS); arXiv</t>
  </si>
  <si>
    <t>DOI: 10.1103/PhysRevA.98.032309</t>
  </si>
  <si>
    <t>Schuld, M., Petruccione, F.</t>
  </si>
  <si>
    <t>Machine Learning with Quantum Computers</t>
  </si>
  <si>
    <t>DOI: 10.1007/978-3-030-83098-4</t>
  </si>
  <si>
    <t>Farhi, E., Neven, H.</t>
  </si>
  <si>
    <t>Classification with quantum neural networks on near-term processors</t>
  </si>
  <si>
    <t>arXiv:1802.06002</t>
  </si>
  <si>
    <t>https://arxiv.org/abs/1802.06002</t>
  </si>
  <si>
    <t>Computational modeling of prefrontal cortex for meta-cognition of a humanoid robot</t>
  </si>
  <si>
    <t>researchgate.net/publication/341762348</t>
  </si>
  <si>
    <t>Acuto, A., et al.</t>
  </si>
  <si>
    <t>Variational quantum soft actor-critic for robotic arm control</t>
  </si>
  <si>
    <t>arXiv</t>
  </si>
  <si>
    <t>Q-SpiRL (authors to confirm)</t>
  </si>
  <si>
    <t>Q-SpiRL: quantum spiking reinforcement learning for adaptive robot navigation</t>
  </si>
  <si>
    <t>arXiv:2605.20801 (NYUAD)</t>
  </si>
  <si>
    <t>https://arxiv.org/pdf/2605.20801</t>
  </si>
  <si>
    <t>Thrun, S.</t>
  </si>
  <si>
    <t>Probabilistic algorithms in robotics</t>
  </si>
  <si>
    <t>AI Magazine, 21(4)</t>
  </si>
  <si>
    <t>DOI: 10.1609/aimag.v21i4.1534</t>
  </si>
  <si>
    <t>Kurniawati, H.</t>
  </si>
  <si>
    <t>Partially observable Markov decision processes and robotics</t>
  </si>
  <si>
    <t>Annual Review of Control, Robotics, and Autonomous Systems, 5</t>
  </si>
  <si>
    <t>Paywalled (Annual Reviews); arXiv</t>
  </si>
  <si>
    <t>DOI: 10.1146/annurev-control-042920-092451</t>
  </si>
  <si>
    <t>Dellaert, F., Fox, D., Burgard, W., Thrun, S.</t>
  </si>
  <si>
    <t>Monte Carlo localization for mobile robots</t>
  </si>
  <si>
    <t>IEEE ICRA 1999</t>
  </si>
  <si>
    <t>DOI: 10.1109/ROBOT.1999.772544</t>
  </si>
  <si>
    <t>Montemerlo, M., Thrun, S., Koller, D., Wegbreit, B.</t>
  </si>
  <si>
    <t>FastSLAM 2.0: improved particle filtering for simultaneous localization and mapping</t>
  </si>
  <si>
    <t>IJCAI 2003</t>
  </si>
  <si>
    <t>Chen, M., Frazzoli, E., Hsu, D., Lee, W.S.</t>
  </si>
  <si>
    <t>POMDP-lite for robust robot planning under uncertainty</t>
  </si>
  <si>
    <t>IEEE ICRA 2016</t>
  </si>
  <si>
    <t>https://arxiv.org/abs/1602.04875</t>
  </si>
  <si>
    <t>Marzat, J., Piet-Lahanier, H., Damongeot, F., Walter, E.</t>
  </si>
  <si>
    <t>Model-based fault diagnosis for aerospace systems: a survey</t>
  </si>
  <si>
    <t>Proc. IMechE Part G, 226(10)</t>
  </si>
  <si>
    <t>Paywalled (Sage)</t>
  </si>
  <si>
    <t>DOI: 10.1177/0954410011421717</t>
  </si>
  <si>
    <t>Henry, D., Le Peuvédic, C., Strippoli, L., Ankersen, F.</t>
  </si>
  <si>
    <t>Model-based FDIR and fault accommodation for a rendezvous mission around Mars</t>
  </si>
  <si>
    <t>IFAC-PapersOnLine, 49(5)</t>
  </si>
  <si>
    <t>Paywalled (Elsevier/IFAC)</t>
  </si>
  <si>
    <t>DOI: 10.1016/j.ifacol.2016.07.124</t>
  </si>
  <si>
    <t>Murphy, R.R.</t>
  </si>
  <si>
    <t>Dempster-Shafer theory for sensor fusion in autonomous mobile robots</t>
  </si>
  <si>
    <t>IEEE Trans. Robotics and Automation, 14(2)</t>
  </si>
  <si>
    <t>DOI: 10.1109/70.681240</t>
  </si>
  <si>
    <t>Pagac, D., Nebot, E.M., Durrant-Whyte, H.</t>
  </si>
  <si>
    <t>An evidential approach to map-building for autonomous vehicles</t>
  </si>
  <si>
    <t>IEEE Trans. Robotics and Automation, 14(4)</t>
  </si>
  <si>
    <t>DOI: 10.1109/70.704243</t>
  </si>
  <si>
    <t>Sossai, C., et al.</t>
  </si>
  <si>
    <t>Fusion of symbolic knowledge and uncertain information in robotics</t>
  </si>
  <si>
    <t>Int. J. Intelligent Systems, 16(10)</t>
  </si>
  <si>
    <t>DOI: 10.1002/int.1061</t>
  </si>
  <si>
    <t>Colledanchise, M., Ögren, P.</t>
  </si>
  <si>
    <t>Behavior Trees in Robotics and AI: An Introduction</t>
  </si>
  <si>
    <t>CRC Press</t>
  </si>
  <si>
    <t>DOI: 10.1201/9780429489105</t>
  </si>
  <si>
    <t>(authors to confirm)</t>
  </si>
  <si>
    <t>Learning for robot decision making under distribution shift: a survey</t>
  </si>
  <si>
    <t>arXiv:2203.07558</t>
  </si>
  <si>
    <t>https://arxiv.org/abs/2203.07558</t>
  </si>
  <si>
    <t>Kendall, A., Gal, Y.</t>
  </si>
  <si>
    <t>What uncertainties do we need in Bayesian deep learning for computer vision?</t>
  </si>
  <si>
    <t>NeurIPS 30</t>
  </si>
  <si>
    <t>https://arxiv.org/abs/1703.04977</t>
  </si>
  <si>
    <t>Gal, Y., Ghahramani, Z.</t>
  </si>
  <si>
    <t>Dropout as a Bayesian approximation: representing model uncertainty in deep learning</t>
  </si>
  <si>
    <t>ICML 2016</t>
  </si>
  <si>
    <t>https://arxiv.org/abs/1506.02142</t>
  </si>
  <si>
    <t>Michelmore, R., Wicker, M., Laurenti, L., Cardelli, L., Gal, Y., Kwiatkowska, M.</t>
  </si>
  <si>
    <t>Uncertainty quantification with statistical guarantees in end-to-end autonomous driving control</t>
  </si>
  <si>
    <t>IEEE ICRA 2020</t>
  </si>
  <si>
    <t>https://arxiv.org/abs/1909.09884</t>
  </si>
  <si>
    <t>Nesnas, I.A.D., Fesq, L.M., Volpe, R.A.</t>
  </si>
  <si>
    <t>Autonomy for space robots: past, present, and future</t>
  </si>
  <si>
    <t>Current Robotics Reports, 2</t>
  </si>
  <si>
    <t>DOI: 10.1007/s43154-021-00057-2</t>
  </si>
  <si>
    <t>Starek, J.A., Açıkmeşe, B., Nesnas, I.A.D., Pavone, M.</t>
  </si>
  <si>
    <t>Spacecraft autonomy challenges for next-generation space missions</t>
  </si>
  <si>
    <t>LNCIS 460, Springer</t>
  </si>
  <si>
    <t>Paywalled (Springer); author PDF</t>
  </si>
  <si>
    <t>Wong, C., Yang, E., Yan, X.-T., Gu, D.</t>
  </si>
  <si>
    <t>Autonomous robots for harsh environments: a holistic overview</t>
  </si>
  <si>
    <t>Systems Science &amp; Control Engineering, 6(1)</t>
  </si>
  <si>
    <t>DOI: 10.1080/21642583.2018.1477634</t>
  </si>
  <si>
    <t>Adaptive and intelligent navigation of autonomous planetary rovers — a survey</t>
  </si>
  <si>
    <t>2017 NASA/ESA AHS</t>
  </si>
  <si>
    <t>DOI: 10.1109/AHS.2017.8046384</t>
  </si>
  <si>
    <t>Gao, Y., Chien, S.</t>
  </si>
  <si>
    <t>Review on space robotics: toward top-level science through space exploration</t>
  </si>
  <si>
    <t>Science Robotics, 2(7)</t>
  </si>
  <si>
    <t>Paywalled (Science)</t>
  </si>
  <si>
    <t>DOI: 10.1126/scirobotics.aan5074</t>
  </si>
  <si>
    <t>Yang, G.-Z., et al.</t>
  </si>
  <si>
    <t>The grand challenges of Science Robotics</t>
  </si>
  <si>
    <t>Science Robotics, 3(14)</t>
  </si>
  <si>
    <t>DOI: 10.1126/scirobotics.aar7650</t>
  </si>
  <si>
    <t>Moulin-Frier, C., Fischer, T., Petit, M., et al.</t>
  </si>
  <si>
    <t>DAC-h3: a proactive robot cognitive architecture</t>
  </si>
  <si>
    <t>IEEE Trans. Cognitive and Developmental Systems</t>
  </si>
  <si>
    <t>https://arxiv.org/abs/1706.03661</t>
  </si>
  <si>
    <t>Quantum Bayesian inference for probabilistic ML; relevant to robot belief updating</t>
  </si>
  <si>
    <t>Photonic quantum ML hardware; context for QML implementations</t>
  </si>
  <si>
    <t>Generalises Grover search; core primitive for quantum sampling/search</t>
  </si>
  <si>
    <t>Quantum SVM / kernel method; robot classification and perception</t>
  </si>
  <si>
    <t>Quantum rejection sampling primitive for probabilistic inference</t>
  </si>
  <si>
    <t>Hybrid quantum-classical DDPG for continuous navigation; ~200x fewer weights</t>
  </si>
  <si>
    <t>GRAPE optimal-control algorithm; foundational quantum control pulses</t>
  </si>
  <si>
    <t>Critical appraisal of QML speedup caveats (data loading, readout)</t>
  </si>
  <si>
    <t>Strongest large-scale empirical confirmation of QQ-equality across 70 surveys</t>
  </si>
  <si>
    <t>Quantum inference model for order/recency effects in inference</t>
  </si>
  <si>
    <t>Seminal quantum explanation for sure-thing-principle violations</t>
  </si>
  <si>
    <t>Entanglement and Bell-inequality violation in concept combinations</t>
  </si>
  <si>
    <t>Quantum treatment of vagueness/ambiguity — on-theme for decision under ambiguity</t>
  </si>
  <si>
    <t>Quantum model of memory interference and overdistribution</t>
  </si>
  <si>
    <t>Identifies response-replicability open problem — key caveat</t>
  </si>
  <si>
    <t>Directly contrasts classical Markov vs quantum dynamics on decision data</t>
  </si>
  <si>
    <t>Pedagogical walkthrough of the linear-algebra machinery</t>
  </si>
  <si>
    <t>Introduces quantum-walk dynamics for decision processes and RTs</t>
  </si>
  <si>
    <t>Dynamic empirical test distinguishing quantum from Markov belief updating</t>
  </si>
  <si>
    <t>Rare explicit bridge from quantum cognition to IR/AI/robotics</t>
  </si>
  <si>
    <t>Early quantum-logic vector-space model of meaning</t>
  </si>
  <si>
    <t>Runs DisCoCat compositional semantics on real quantum hardware</t>
  </si>
  <si>
    <t>Accessible primer on quantum cognition for non-specialists</t>
  </si>
  <si>
    <t>Early quantum-like information-space formalism</t>
  </si>
  <si>
    <t>Early quantum account of the conjunction fallacy</t>
  </si>
  <si>
    <t>Quantum-like representation of concept associations</t>
  </si>
  <si>
    <t>Explicit bridge: quantum probability/logic/vector methods to AI</t>
  </si>
  <si>
    <t>Near-term QNLP on hardware; ambiguity resolution in composition</t>
  </si>
  <si>
    <t>Quantum logic for structured information retrieval</t>
  </si>
  <si>
    <t>Position paper framing Quantum Interaction across cognition, AI and robotics</t>
  </si>
  <si>
    <t>Foundational VQC-based deep Q-learning tested with hardware noise</t>
  </si>
  <si>
    <t>Common Model of Cognition unifying SOAR/ACT-R/Sigma</t>
  </si>
  <si>
    <t>Comprehensive survey of 84 cognitive architectures</t>
  </si>
  <si>
    <t>Foundational POMDP formulation for decision under state uncertainty</t>
  </si>
  <si>
    <t>Latent generative world models for planning under uncertainty</t>
  </si>
  <si>
    <t>Fock-space model of conceptual combination and emergent meaning</t>
  </si>
  <si>
    <t>Quantum account of asymmetric similarity judgments</t>
  </si>
  <si>
    <t>Extends quantum interference to constructive memory over time</t>
  </si>
  <si>
    <t>Review of quantum encodings for embeddings, attention, grammar, uncertainty</t>
  </si>
  <si>
    <t>Extends VQC-QRL to cooperative multi-agent settings (CTDE)</t>
  </si>
  <si>
    <t>Gradient-free QRL with amplitude encoding for high-dim inputs</t>
  </si>
  <si>
    <t>Introduces parameterized quantum circuits (QCL) for learning tasks</t>
  </si>
  <si>
    <t>Standard QML textbook for models and quantum feature encodings</t>
  </si>
  <si>
    <t>Early quantum neural network for classification on NISQ devices</t>
  </si>
  <si>
    <t>Classical predecessor to Daglarli 2025; meta-cognitive control (no quantum)</t>
  </si>
  <si>
    <t>Variational quantum SAC controlling a simulated robotic arm; fewer parameters</t>
  </si>
  <si>
    <t>Spiking neural nets + quantum RL for adaptive navigation</t>
  </si>
  <si>
    <t>Accessible overview of Bayes-filter perception and localization</t>
  </si>
  <si>
    <t>Current review of sampling-based POMDP solvers on physical robots</t>
  </si>
  <si>
    <t>Introduces particle-filter (Monte Carlo) localization</t>
  </si>
  <si>
    <t>Particle-filter SLAM under motion/measurement uncertainty</t>
  </si>
  <si>
    <t>Efficient POMDP planning with hidden static parameters via Bayesian RL</t>
  </si>
  <si>
    <t>Foundational survey of model-based fault detection under uncertainty</t>
  </si>
  <si>
    <t>Robust model-based thruster fault diagnosis for Mars rendezvous</t>
  </si>
  <si>
    <t>Foundational Dempster-Shafer evidential sensor fusion under conflict</t>
  </si>
  <si>
    <t>Dempster-Shafer fusion of sonar into occupancy grids</t>
  </si>
  <si>
    <t>Belief functions + possibility theory for mobile-robot localization</t>
  </si>
  <si>
    <t>Canonical reference for behavior/goal arbitration in robot control</t>
  </si>
  <si>
    <t>Reviews POMDP/RL approaches for robust decisions under distribution shift</t>
  </si>
  <si>
    <t>Distinguishes aleatoric vs epistemic uncertainty for perception</t>
  </si>
  <si>
    <t>MC-dropout uncertainty quantification for deep perception</t>
  </si>
  <si>
    <t>Bayesian-NN uncertainty with statistical guarantees for driving control</t>
  </si>
  <si>
    <t>Definitive review of spacecraft autonomy; decision under limited knowledge</t>
  </si>
  <si>
    <t>Deep-dive on relative guidance and extreme-terrain autonomy</t>
  </si>
  <si>
    <t>Survey of autonomy/decision under uncertainty for harsh-environment robots</t>
  </si>
  <si>
    <t>Survey of planetary-rover navigation autonomy under uncertainty</t>
  </si>
  <si>
    <t>Widely cited review defining levels of autonomy for space robots</t>
  </si>
  <si>
    <t>Field-defining agenda naming autonomy under uncertainty as grand challenge</t>
  </si>
  <si>
    <t>Biologically grounded cognitive architecture on the iCub humanoid</t>
  </si>
  <si>
    <t>Review / critique</t>
  </si>
  <si>
    <t>Empirical</t>
  </si>
  <si>
    <t>Empirical / theoretical</t>
  </si>
  <si>
    <t>Empirical / comparison</t>
  </si>
  <si>
    <t>Tutorial</t>
  </si>
  <si>
    <t>Review / primer</t>
  </si>
  <si>
    <t>Theoretical / position</t>
  </si>
  <si>
    <t>Experimental / case</t>
  </si>
  <si>
    <t>Experimental / theoretical</t>
  </si>
  <si>
    <t>Review / technical</t>
  </si>
  <si>
    <t>Review / position</t>
  </si>
  <si>
    <t>Robotic validation and data-loading open</t>
  </si>
  <si>
    <t>Photonic platforms not robot-deployable</t>
  </si>
  <si>
    <t>Needs fault-tolerant QC</t>
  </si>
  <si>
    <t>Data-loading bottleneck</t>
  </si>
  <si>
    <t>Practical advantage unclear</t>
  </si>
  <si>
    <t>Simulation only; NISQ feasibility open</t>
  </si>
  <si>
    <t>Controls quantum systems, not physical robots</t>
  </si>
  <si>
    <t>Tempers quantum-advantage claims</t>
  </si>
  <si>
    <t>Human data; transfer to robot policies open</t>
  </si>
  <si>
    <t>Robot-decision instantiation open</t>
  </si>
  <si>
    <t>Robot decision-loop instantiation open</t>
  </si>
  <si>
    <t>Concept formalism; robotic mapping unclear</t>
  </si>
  <si>
    <t>No robotic instantiation</t>
  </si>
  <si>
    <t>Robot memory use untested</t>
  </si>
  <si>
    <t>Open problem within the theory</t>
  </si>
  <si>
    <t>Which wins for robot inference?</t>
  </si>
  <si>
    <t>No agent construction</t>
  </si>
  <si>
    <t>Robot deployment open</t>
  </si>
  <si>
    <t>Robot belief updating untested</t>
  </si>
  <si>
    <t>Position paper; needs implementation</t>
  </si>
  <si>
    <t>NLP-focused; robotic relevance indirect</t>
  </si>
  <si>
    <t>Small-scale; robot language grounding open</t>
  </si>
  <si>
    <t>Overview; no robot application</t>
  </si>
  <si>
    <t>Abstract; robotic mapping unclear</t>
  </si>
  <si>
    <t>Foundational; no agent</t>
  </si>
  <si>
    <t>Concept modelling; robot use open</t>
  </si>
  <si>
    <t>Bridge-level; robot instantiation open</t>
  </si>
  <si>
    <t>Small NISQ scale</t>
  </si>
  <si>
    <t>IR-focused</t>
  </si>
  <si>
    <t>Programmatic; needs implementation</t>
  </si>
  <si>
    <t>Simple benchmarks; scaling open</t>
  </si>
  <si>
    <t>Classical baseline; no quantum</t>
  </si>
  <si>
    <t>Classical baseline for cognition</t>
  </si>
  <si>
    <t>Classical baseline quantum must beat</t>
  </si>
  <si>
    <t>Classical; embodied-prediction baseline</t>
  </si>
  <si>
    <t>Robot instantiation open</t>
  </si>
  <si>
    <t>Similarity in robot perception untested</t>
  </si>
  <si>
    <t>Verify title/venue; robot use open</t>
  </si>
  <si>
    <t>Robot language grounding open</t>
  </si>
  <si>
    <t>Multi-robot hardware scale open</t>
  </si>
  <si>
    <t>Evolutionary QRL; scaling open</t>
  </si>
  <si>
    <t>Foundational; NISQ scale</t>
  </si>
  <si>
    <t>Background reference</t>
  </si>
  <si>
    <t>NISQ-limited</t>
  </si>
  <si>
    <t>Classical baseline for the quantum version</t>
  </si>
  <si>
    <t>Verify authors/venue; simulation only</t>
  </si>
  <si>
    <t>Verify authors/venue; preprint</t>
  </si>
  <si>
    <t>Classical baseline for §6</t>
  </si>
  <si>
    <t>Classical localisation baseline</t>
  </si>
  <si>
    <t>Classical SLAM baseline</t>
  </si>
  <si>
    <t>Classical robust-planning baseline</t>
  </si>
  <si>
    <t>Classical FDI baseline</t>
  </si>
  <si>
    <t>Fault diagnosis under ambiguity case</t>
  </si>
  <si>
    <t>Non-Bayesian ambiguity baseline vs quantum</t>
  </si>
  <si>
    <t>Evidential mapping baseline</t>
  </si>
  <si>
    <t>Non-Bayesian ambiguity precedent</t>
  </si>
  <si>
    <t>Goal-arbitration baseline</t>
  </si>
  <si>
    <t>Verify authors; robustness baseline</t>
  </si>
  <si>
    <t>Classical uncertainty-quantification baseline</t>
  </si>
  <si>
    <t>Classical UQ baseline</t>
  </si>
  <si>
    <t>Classical safe-control UQ baseline</t>
  </si>
  <si>
    <t>Autonomy-under-uncertainty motivation</t>
  </si>
  <si>
    <t>Space-autonomy scope</t>
  </si>
  <si>
    <t>Autonomy-scope reference</t>
  </si>
  <si>
    <t>Rover-autonomy scope</t>
  </si>
  <si>
    <t>Autonomy-levels reference</t>
  </si>
  <si>
    <t>Frames the grand challenges</t>
  </si>
  <si>
    <t>Classical embodied-cognition baseline</t>
  </si>
  <si>
    <t>Quantum route to Bayesian inference</t>
  </si>
  <si>
    <t>Hardware context for QML</t>
  </si>
  <si>
    <t>Amplitude amplification primitive</t>
  </si>
  <si>
    <t>Quantum kernel classification</t>
  </si>
  <si>
    <t>Sampling primitive</t>
  </si>
  <si>
    <t>Continuous-action QRL for navigation</t>
  </si>
  <si>
    <t>GRAPE optimal control</t>
  </si>
  <si>
    <t>Essential QML reality check</t>
  </si>
  <si>
    <t>Landmark order-effect confirmation</t>
  </si>
  <si>
    <t>Order effects in inference</t>
  </si>
  <si>
    <t>Founding decision-fallacy result</t>
  </si>
  <si>
    <t>Entangled concepts</t>
  </si>
  <si>
    <t>Vagueness via quantum probability</t>
  </si>
  <si>
    <t>Quantum episodic memory</t>
  </si>
  <si>
    <t>Response-replicability caveat</t>
  </si>
  <si>
    <t>Markov vs quantum comparison</t>
  </si>
  <si>
    <t>Tutorial on QC machinery</t>
  </si>
  <si>
    <t>Quantum-walk decision dynamics</t>
  </si>
  <si>
    <t>Dynamic belief-change test</t>
  </si>
  <si>
    <t>Cognition→robotics bridge</t>
  </si>
  <si>
    <t>Vector-space quantum logic</t>
  </si>
  <si>
    <t>QNLP on real hardware</t>
  </si>
  <si>
    <t>QC primer</t>
  </si>
  <si>
    <t>Information-space formalism</t>
  </si>
  <si>
    <t>Early conjunction-fallacy model</t>
  </si>
  <si>
    <t>Quantum-like concept representation</t>
  </si>
  <si>
    <t>Quantum maths→AI bridge</t>
  </si>
  <si>
    <t>Near-term QNLP advances</t>
  </si>
  <si>
    <t>Quantum logic for retrieval</t>
  </si>
  <si>
    <t>Quantum Interaction programme</t>
  </si>
  <si>
    <t>VQC deep Q-learning template</t>
  </si>
  <si>
    <t>Cognitive-architecture landscape</t>
  </si>
  <si>
    <t>POMDP belief-state planning</t>
  </si>
  <si>
    <t>World models baseline</t>
  </si>
  <si>
    <t>Fock-space concept dynamics</t>
  </si>
  <si>
    <t>Quantum similarity model</t>
  </si>
  <si>
    <t>Constructive memory (verify)</t>
  </si>
  <si>
    <t>QNLP survey</t>
  </si>
  <si>
    <t>Multi-agent QRL</t>
  </si>
  <si>
    <t>Evolutionary QRL</t>
  </si>
  <si>
    <t>QML textbook</t>
  </si>
  <si>
    <t>Early QNN classifier</t>
  </si>
  <si>
    <t>Meta-cognition predecessor</t>
  </si>
  <si>
    <t>Quantum SAC arm control (verify)</t>
  </si>
  <si>
    <t>Quantum spiking RL (verify)</t>
  </si>
  <si>
    <t>Bayes-filter overview</t>
  </si>
  <si>
    <t>POMDP-robotics review</t>
  </si>
  <si>
    <t>Monte Carlo localization</t>
  </si>
  <si>
    <t>FastSLAM 2.0</t>
  </si>
  <si>
    <t>POMDP-lite planning</t>
  </si>
  <si>
    <t>Aerospace fault-diagnosis survey</t>
  </si>
  <si>
    <t>Mars FDIR case</t>
  </si>
  <si>
    <t>Dempster-Shafer fusion</t>
  </si>
  <si>
    <t>Evidential occupancy mapping</t>
  </si>
  <si>
    <t>Belief + possibility fusion</t>
  </si>
  <si>
    <t>Behavior Trees reference</t>
  </si>
  <si>
    <t>Distribution-shift survey (verify)</t>
  </si>
  <si>
    <t>Aleatoric vs epistemic uncertainty</t>
  </si>
  <si>
    <t>MC-dropout UQ</t>
  </si>
  <si>
    <t>Guaranteed UQ for driving</t>
  </si>
  <si>
    <t>Space-autonomy review</t>
  </si>
  <si>
    <t>Spacecraft autonomy challenges</t>
  </si>
  <si>
    <t>Harsh-environment autonomy</t>
  </si>
  <si>
    <t>Rover navigation autonomy</t>
  </si>
  <si>
    <t>Space-robotics autonomy levels</t>
  </si>
  <si>
    <t>Grand challenges of robotics</t>
  </si>
  <si>
    <t>DAC-h3 embodied architecture</t>
  </si>
  <si>
    <t>Your lab's prior work: quantum-like cognitive architecture demonstrated on a TIAGo++ handover task</t>
  </si>
  <si>
    <t>Verify exact title/venue/year</t>
  </si>
  <si>
    <t>Direct research lineage for the model paper</t>
  </si>
  <si>
    <t>Your lab's prior work: quantum-inspired probability models on a humanoid platform</t>
  </si>
  <si>
    <t>Your lab's prior work: embodied quantum-like cognition on a robot platform</t>
  </si>
  <si>
    <t>LLM Orchestration &amp; Embodied Agents</t>
  </si>
  <si>
    <t>Ahn, M., Brohan, A., Brown, N., et al.</t>
  </si>
  <si>
    <t>Do As I Can, Not As I Say: Grounding Language in Robotic Affordances</t>
  </si>
  <si>
    <t>CoRL 2022</t>
  </si>
  <si>
    <t>LLM proposes candidate actions scored by learned affordance value functions — canonical template for an LLM that selects among robot skills/modalities</t>
  </si>
  <si>
    <t>https://arxiv.org/abs/2204.01691</t>
  </si>
  <si>
    <t>Orchestration</t>
  </si>
  <si>
    <t>LLM/Agent</t>
  </si>
  <si>
    <t>Survey + Thesis</t>
  </si>
  <si>
    <t>Affordance scores are frozen — no online adaptation of the selector; single-modality skills only</t>
  </si>
  <si>
    <t>SayCan: value-function grounding is the classic baseline your learned orchestrator must beat</t>
  </si>
  <si>
    <t>Huang, W., Xia, F., Xiao, T., et al.</t>
  </si>
  <si>
    <t>Inner Monologue: Embodied Reasoning through Planning with Language Models</t>
  </si>
  <si>
    <t>Closed-loop LLM planning that ingests success/scene/human feedback — directly analogous to feeding uncertainty signals back to the orchestrator</t>
  </si>
  <si>
    <t>https://arxiv.org/abs/2207.05608</t>
  </si>
  <si>
    <t>Feedback is textual, not calibrated uncertainty; LLM is frozen (no learning of the fusion policy)</t>
  </si>
  <si>
    <t>Feedback-conditioned replanning; your federated confidence signals are the calibrated version of this</t>
  </si>
  <si>
    <t>Liang, J., Huang, W., Xia, F., et al.</t>
  </si>
  <si>
    <t>Code as Policies: Language Model Programs for Embodied Control</t>
  </si>
  <si>
    <t>ICRA 2023</t>
  </si>
  <si>
    <t>LLM writes executable code that invokes perception/control APIs — mechanistic analog to invoking heterogeneous learning modules</t>
  </si>
  <si>
    <t>https://arxiv.org/abs/2209.07753</t>
  </si>
  <si>
    <t>No learning/adaptation of the code-generation policy; brittle to novel APIs</t>
  </si>
  <si>
    <t>Programmatic invocation of skills; contrast with your learned allocation policy</t>
  </si>
  <si>
    <t>Driess, D., Xia, F., Sajjadi, M.S.M., et al.</t>
  </si>
  <si>
    <t>PaLM-E: An Embodied Multimodal Language Model</t>
  </si>
  <si>
    <t>ICML 2023</t>
  </si>
  <si>
    <t>Injects continuous vision/state into an LLM for grounded planning — the multimodal grounding backbone an orchestrator can sit on</t>
  </si>
  <si>
    <t>https://arxiv.org/abs/2303.03378</t>
  </si>
  <si>
    <t>562B params — impossible on edge; no notion of compute-budget allocation</t>
  </si>
  <si>
    <t>Multimodal grounding; motivates why you need a small *local* LLM instead</t>
  </si>
  <si>
    <t>Yao, S., Zhao, J., Yu, D., et al.</t>
  </si>
  <si>
    <t>ReAct: Synergizing Reasoning and Acting in Language Models</t>
  </si>
  <si>
    <t>ICLR 2023</t>
  </si>
  <si>
    <t>Interleaved reason–act loop — the control-loop skeleton for an LLM orchestrator deciding what to invoke next</t>
  </si>
  <si>
    <t>https://arxiv.org/abs/2210.03629</t>
  </si>
  <si>
    <t>No learned policy over actions; reasoning quality bounded by frozen model</t>
  </si>
  <si>
    <t>Reason-act loop = orchestrator inner loop; you make the acting choice *learned*</t>
  </si>
  <si>
    <t>Schick, T., Dwivedi-Yu, J., Dessì, R., et al.</t>
  </si>
  <si>
    <t>Toolformer: Language Models Can Teach Themselves to Use Tools</t>
  </si>
  <si>
    <t>NeurIPS 2023</t>
  </si>
  <si>
    <t>LLM learns *when* to call which tool via self-supervision — the closest published analog to learning when to invoke each learning modality</t>
  </si>
  <si>
    <t>https://arxiv.org/abs/2302.04761</t>
  </si>
  <si>
    <t>Offline self-supervision, not online; no uncertainty-driven selection; not embodied</t>
  </si>
  <si>
    <t>Learned tool-invocation; your work makes it online, embodied, uncertainty-gated</t>
  </si>
  <si>
    <t>Shinn, N., Cassano, F., Gopinath, A., et al.</t>
  </si>
  <si>
    <t>Reflexion: Language Agents with Verbal Reinforcement Learning</t>
  </si>
  <si>
    <t>Agent improves via reflective memory over episodes — a training-free precursor to your online-improving orchestrator</t>
  </si>
  <si>
    <t>https://arxiv.org/abs/2303.11366</t>
  </si>
  <si>
    <t>Improvement is in-context memory only — no weight updates; forgets across resets</t>
  </si>
  <si>
    <t>Verbal self-improvement vs your LoRA-based weight-level improvement</t>
  </si>
  <si>
    <t>Wang, G., Xie, Y., Jiang, Y., et al.</t>
  </si>
  <si>
    <t>Voyager: An Open-Ended Embodied Agent with Large Language Models</t>
  </si>
  <si>
    <t>TMLR 2024</t>
  </si>
  <si>
    <t>Lifelong agent that grows a reusable skill library — parallels composing/reusing learning modes over a robot's lifetime</t>
  </si>
  <si>
    <t>https://arxiv.org/abs/2305.16291</t>
  </si>
  <si>
    <t>Simulation (Minecraft) only; relies on GPT-4 API — not edge-deployable</t>
  </si>
  <si>
    <t>Open-ended skill acquisition; your contribution is doing it on constrained hardware</t>
  </si>
  <si>
    <t>Singh, I., Blukis, V., Mousavian, A., et al.</t>
  </si>
  <si>
    <t>ProgPrompt: Generating Situated Robot Task Plans using Large Language Models</t>
  </si>
  <si>
    <t>Programmatic LLM prompting for situated task plans — plan-representation reference</t>
  </si>
  <si>
    <t>https://arxiv.org/abs/2209.11302</t>
  </si>
  <si>
    <t>Open-loop; no feedback, no adaptation</t>
  </si>
  <si>
    <t>Plan-as-program representation; minor baseline</t>
  </si>
  <si>
    <t>Huang, W., Wang, C., Zhang, R., et al.</t>
  </si>
  <si>
    <t>VoxPoser: Composable 3D Value Maps for Robotic Manipulation with Language Models</t>
  </si>
  <si>
    <t>CoRL 2023</t>
  </si>
  <si>
    <t>LLM composes 3D value maps zero-shot to drive control — example of LLM orchestrating perception+planning modules</t>
  </si>
  <si>
    <t>https://arxiv.org/abs/2307.05973</t>
  </si>
  <si>
    <t>Zero-shot, no learning; assumes reliable perception (no uncertainty gating)</t>
  </si>
  <si>
    <t>LLM-composed value maps; contrast with learned modality fusion</t>
  </si>
  <si>
    <t>Yu, W., Gileadi, N., Fu, C., et al.</t>
  </si>
  <si>
    <t>Language to Rewards for Robotic Skill Synthesis</t>
  </si>
  <si>
    <t>LLM emits reward specifications that drive RL — bridge between LLM orchestration and the RL modality</t>
  </si>
  <si>
    <t>https://arxiv.org/abs/2306.08647</t>
  </si>
  <si>
    <t>One-directional (LLM→RL); no feedback of RL uncertainty back to the LLM</t>
  </si>
  <si>
    <t>LLM→reward pipeline; your loop is bidirectional via policy-variance signals</t>
  </si>
  <si>
    <t>VLA &amp; Robot Foundation Models</t>
  </si>
  <si>
    <t>Brohan, A., Brown, N., Carbajal, J., et al.</t>
  </si>
  <si>
    <t>RT-1: Robotics Transformer for Real-World Control at Scale</t>
  </si>
  <si>
    <t>RSS 2023</t>
  </si>
  <si>
    <t>Transformer policy trained on large real-robot data — baseline single-modality end-to-end policy</t>
  </si>
  <si>
    <t>https://arxiv.org/abs/2212.06817</t>
  </si>
  <si>
    <t>VLA</t>
  </si>
  <si>
    <t>Monolithic policy — no modularity, no compute-budget control, no uncertainty</t>
  </si>
  <si>
    <t>The end-to-end policy your orchestrator sits above / arbitrates</t>
  </si>
  <si>
    <t>RT-2: Vision-Language-Action Models Transfer Web Knowledge to Robotic Control</t>
  </si>
  <si>
    <t>Co-fine-tunes a VLM into a VLA — web-scale priors for control; grounding backbone reference</t>
  </si>
  <si>
    <t>https://arxiv.org/abs/2307.15818</t>
  </si>
  <si>
    <t>Cloud-scale inference; no online adaptation on device</t>
  </si>
  <si>
    <t>Web-knowledge transfer to control; edge deployment is the open gap you fill</t>
  </si>
  <si>
    <t>Kim, M.J., Pertsch, K., Karamcheti, S., et al.</t>
  </si>
  <si>
    <t>OpenVLA: An Open-Source Vision-Language-Action Model</t>
  </si>
  <si>
    <t>CoRL 2024</t>
  </si>
  <si>
    <t>Open 7B VLA explicitly fine-tunable with LoRA on consumer GPUs — direct precedent for your on-device LoRA adaptation</t>
  </si>
  <si>
    <t>https://arxiv.org/abs/2406.09246</t>
  </si>
  <si>
    <t>On-Device Adaptation</t>
  </si>
  <si>
    <t>LoRA fine-tuning is offline/batch; no online, uncertainty-triggered updates</t>
  </si>
  <si>
    <t>Open VLA + LoRA recipe you extend to *online* fine-tuning on the robot</t>
  </si>
  <si>
    <t>Octo Model Team (Ghosh, D., Walke, H., Pertsch, K., et al.)</t>
  </si>
  <si>
    <t>Octo: An Open-Source Generalist Robot Policy</t>
  </si>
  <si>
    <t>RSS 2024</t>
  </si>
  <si>
    <t>Open, lightweight generalist policy designed for efficient fine-tuning — candidate modality backbone</t>
  </si>
  <si>
    <t>https://arxiv.org/abs/2405.12213</t>
  </si>
  <si>
    <t>No compute-budget arbitration across skills; single policy</t>
  </si>
  <si>
    <t>Efficient, forkable generalist policy — practical base for a modality</t>
  </si>
  <si>
    <t>Reed, S., Zolna, K., Parisotto, E., et al.</t>
  </si>
  <si>
    <t>A Generalist Agent (Gato)</t>
  </si>
  <si>
    <t>TMLR 2022</t>
  </si>
  <si>
    <t>Single network across many tasks/modalities — the 'one model does everything' thesis your work argues against for edge</t>
  </si>
  <si>
    <t>https://arxiv.org/abs/2205.06175</t>
  </si>
  <si>
    <t>Monolithic, huge, no dynamic compute allocation; no uncertainty</t>
  </si>
  <si>
    <t>Generalist-single-model view; motivates modular orchestration alternative</t>
  </si>
  <si>
    <t>Black, K., Brown, N., Driess, D., et al. (Physical Intelligence)</t>
  </si>
  <si>
    <t>π0: A Vision-Language-Action Flow Model for General Robot Control</t>
  </si>
  <si>
    <t>arXiv:2410.24164</t>
  </si>
  <si>
    <t>Flow-matching VLA for dexterous general control — current SOTA generalist policy reference</t>
  </si>
  <si>
    <t>https://arxiv.org/abs/2410.24164</t>
  </si>
  <si>
    <t>Large-model, server-trained; on-device continual adaptation unaddressed</t>
  </si>
  <si>
    <t>SOTA VLA; cite for state-of-the-art context</t>
  </si>
  <si>
    <t>Bousmalis, K., Vezzani, G., Rao, D., et al.</t>
  </si>
  <si>
    <t>RoboCat: A Self-Improving Generalist Agent for Robotic Manipulation</t>
  </si>
  <si>
    <t>TMLR 2023</t>
  </si>
  <si>
    <t>Self-improves by generating its own fine-tuning data — precedent for autonomous online improvement</t>
  </si>
  <si>
    <t>https://arxiv.org/abs/2306.11706</t>
  </si>
  <si>
    <t>Self-improvement loop is cloud/offline, not real-time on edge</t>
  </si>
  <si>
    <t>Self-improving generalist; your loop runs online, on-robot</t>
  </si>
  <si>
    <t>Radford, A., Kim, J.W., Hallacy, C., et al.</t>
  </si>
  <si>
    <t>Learning Transferable Visual Models From Natural Language Supervision (CLIP)</t>
  </si>
  <si>
    <t>ICML 2021</t>
  </si>
  <si>
    <t>Vision-language representation backbone underpinning most VLAs and the vision modality</t>
  </si>
  <si>
    <t>https://arxiv.org/abs/2103.00020</t>
  </si>
  <si>
    <t>Vision</t>
  </si>
  <si>
    <t>No uncertainty quantification out of the box</t>
  </si>
  <si>
    <t>Foundational VL encoder; feeds the vision modality</t>
  </si>
  <si>
    <t>Meta-Learning / Learning to Learn</t>
  </si>
  <si>
    <t>Finn, C., Abbeel, P., Levine, S.</t>
  </si>
  <si>
    <t>Model-Agnostic Meta-Learning for Fast Adaptation of Deep Networks (MAML)</t>
  </si>
  <si>
    <t>ICML 2017</t>
  </si>
  <si>
    <t>Canonical meta-learning: learn an initialisation that adapts in few gradient steps — core to an orchestrator that must adapt fast on device</t>
  </si>
  <si>
    <t>https://arxiv.org/abs/1703.03400</t>
  </si>
  <si>
    <t>Meta-Learning</t>
  </si>
  <si>
    <t>Meta-learning</t>
  </si>
  <si>
    <t>Second-order cost; assumes task distribution known; not tied to compute-budget allocation</t>
  </si>
  <si>
    <t>The meta-learning primitive behind 'learns which modality to invoke'</t>
  </si>
  <si>
    <t>Nichol, A., Achiam, J., Schulman, J.</t>
  </si>
  <si>
    <t>On First-Order Meta-Learning Algorithms (Reptile)</t>
  </si>
  <si>
    <t>arXiv:1803.02999</t>
  </si>
  <si>
    <t>First-order meta-learning — cheaper than MAML, attractive under edge compute limits</t>
  </si>
  <si>
    <t>https://arxiv.org/abs/1803.02999</t>
  </si>
  <si>
    <t>Still batch/offline; no online orchestration use</t>
  </si>
  <si>
    <t>Compute-cheap meta-learning option for constrained hardware</t>
  </si>
  <si>
    <t>Duan, Y., Schulman, J., Chen, X., et al.</t>
  </si>
  <si>
    <t>RL^2: Fast Reinforcement Learning via Slow Reinforcement Learning</t>
  </si>
  <si>
    <t>arXiv:1611.02779</t>
  </si>
  <si>
    <t>Meta-RL where a recurrent policy *is* the learning algorithm — conceptual template for a learned orchestrator</t>
  </si>
  <si>
    <t>https://arxiv.org/abs/1611.02779</t>
  </si>
  <si>
    <t>Sim-scale; not embodied on real constrained hardware; no LLM</t>
  </si>
  <si>
    <t>Learning to learn' as a policy — direct ancestor of your LLM orchestrator</t>
  </si>
  <si>
    <t>Andrychowicz, M., Denil, M., Gomez, S., et al.</t>
  </si>
  <si>
    <t>Learning to learn by gradient descent by gradient descent</t>
  </si>
  <si>
    <t>NeurIPS 2016</t>
  </si>
  <si>
    <t>Learned optimisers — foundational statement of meta-learning the update rule itself</t>
  </si>
  <si>
    <t>https://arxiv.org/abs/1606.04474</t>
  </si>
  <si>
    <t>Toy scale; generalisation of learned optimiser limited</t>
  </si>
  <si>
    <t>Historical anchor for learning-to-learn framing</t>
  </si>
  <si>
    <t>Yu, T., Quillen, D., He, Z., et al.</t>
  </si>
  <si>
    <t>Meta-World: A Benchmark and Evaluation for Multi-Task and Meta RL</t>
  </si>
  <si>
    <t>CoRL 2019</t>
  </si>
  <si>
    <t>Standard benchmark for multi-task/meta-RL — evaluation methodology reference</t>
  </si>
  <si>
    <t>https://arxiv.org/abs/1910.10897</t>
  </si>
  <si>
    <t>Hardware/Benchmark</t>
  </si>
  <si>
    <t>Simulated arm only; no real edge-hardware trials</t>
  </si>
  <si>
    <t>Benchmark to position your 50+ real-hardware trials against</t>
  </si>
  <si>
    <t>Snell, J., Swersky, K., Zemel, R.</t>
  </si>
  <si>
    <t>Prototypical Networks for Few-shot Learning</t>
  </si>
  <si>
    <t>NeurIPS 2017</t>
  </si>
  <si>
    <t>Metric-based few-shot learning — lightweight adaptation alternative to gradient meta-learning</t>
  </si>
  <si>
    <t>https://arxiv.org/abs/1703.05175</t>
  </si>
  <si>
    <t>Classification-centric; not sequential/embodied</t>
  </si>
  <si>
    <t>Metric few-shot baseline; minor for orchestration</t>
  </si>
  <si>
    <t>Reinforcement Learning (Policy &amp; Uncertainty)</t>
  </si>
  <si>
    <t>Schulman, J., Wolski, F., Dhariwal, P., et al.</t>
  </si>
  <si>
    <t>Proximal Policy Optimization Algorithms (PPO)</t>
  </si>
  <si>
    <t>arXiv:1707.06347</t>
  </si>
  <si>
    <t>Default on-policy RL algorithm — likely backbone of the RL modality</t>
  </si>
  <si>
    <t>https://arxiv.org/abs/1707.06347</t>
  </si>
  <si>
    <t>Policy Learning (RL)</t>
  </si>
  <si>
    <t>RL</t>
  </si>
  <si>
    <t>Sample-inefficient; no native uncertainty estimate</t>
  </si>
  <si>
    <t>RL modality backbone; policy-variance signal must be added on top</t>
  </si>
  <si>
    <t>Haarnoja, T., Zhou, A., Abbeel, P., Levine, S.</t>
  </si>
  <si>
    <t>Soft Actor-Critic: Off-Policy Maximum Entropy Deep RL with a Stochastic Actor</t>
  </si>
  <si>
    <t>ICML 2018</t>
  </si>
  <si>
    <t>Sample-efficient off-policy control; entropy term gives a natural policy-uncertainty/variance handle</t>
  </si>
  <si>
    <t>https://arxiv.org/abs/1801.01290</t>
  </si>
  <si>
    <t>Entropy ≠ calibrated epistemic uncertainty; still needs replay/compute</t>
  </si>
  <si>
    <t>Entropy/stochastic policy as source of the 'policy variance' confidence signal</t>
  </si>
  <si>
    <t>Fujimoto, S., van Hoof, H., Meger, D.</t>
  </si>
  <si>
    <t>Addressing Function Approximation Error in Actor-Critic Methods (TD3)</t>
  </si>
  <si>
    <t>Twin-critic variance reduction — relevant to estimating value uncertainty</t>
  </si>
  <si>
    <t>https://arxiv.org/abs/1802.09477</t>
  </si>
  <si>
    <t>Twin critics reduce, but do not quantify, uncertainty</t>
  </si>
  <si>
    <t>Continuous-control baseline; critic disagreement as a variance proxy</t>
  </si>
  <si>
    <t>Osband, I., Blundell, C., Pritzel, A., Van Roy, B.</t>
  </si>
  <si>
    <t>Deep Exploration via Bootstrapped DQN</t>
  </si>
  <si>
    <t>Ensemble heads yield posterior/epistemic uncertainty in RL — concrete way to compute the RL modality's confidence</t>
  </si>
  <si>
    <t>https://arxiv.org/abs/1602.04621</t>
  </si>
  <si>
    <t>Uncertainty</t>
  </si>
  <si>
    <t>Ensemble cost multiplies compute — tension with edge budget</t>
  </si>
  <si>
    <t>Ensemble variance = the RL policy-variance signal you fuse</t>
  </si>
  <si>
    <t>Kalashnikov, D., Irpan, A., Pastor, P., et al.</t>
  </si>
  <si>
    <t>QT-Opt: Scalable Deep RL for Vision-Based Robotic Manipulation</t>
  </si>
  <si>
    <t>CoRL 2018</t>
  </si>
  <si>
    <t>Large-scale real-robot RL for grasping — evidence RL can drive real manipulation policies</t>
  </si>
  <si>
    <t>https://arxiv.org/abs/1806.10293</t>
  </si>
  <si>
    <t>Massive data/compute; opposite of the edge regime</t>
  </si>
  <si>
    <t>Real-robot RL at scale; contrast with resource-constrained setting</t>
  </si>
  <si>
    <t>Hafner, D., Pasukonis, J., Ba, J., Lillicrap, T.</t>
  </si>
  <si>
    <t>Mastering Diverse Domains through World Models (DreamerV3)</t>
  </si>
  <si>
    <t>arXiv:2301.04104</t>
  </si>
  <si>
    <t>Sample-efficient model-based RL across domains — attractive where on-robot data is scarce</t>
  </si>
  <si>
    <t>https://arxiv.org/abs/2301.04104</t>
  </si>
  <si>
    <t>World-model training is memory-heavy for edge; uncertainty use implicit</t>
  </si>
  <si>
    <t>Model-based sample efficiency argument for constrained data budgets</t>
  </si>
  <si>
    <t>Imitation Learning / Learning from Demonstration</t>
  </si>
  <si>
    <t>Ross, S., Gordon, G., Bagnell, D.</t>
  </si>
  <si>
    <t>A Reduction of Imitation Learning and Structured Prediction to No-Regret Online Learning (DAgger)</t>
  </si>
  <si>
    <t>AISTATS 2011</t>
  </si>
  <si>
    <t>Addresses compounding error in behavioural cloning — core theory behind the imitation modality</t>
  </si>
  <si>
    <t>https://arxiv.org/abs/1011.0686</t>
  </si>
  <si>
    <t>Imitation</t>
  </si>
  <si>
    <t>Requires interactive expert queries — costly on real hardware</t>
  </si>
  <si>
    <t>Distribution-shift theory; motivates behavioural-fidelity confidence</t>
  </si>
  <si>
    <t>Ho, J., Ermon, S.</t>
  </si>
  <si>
    <t>Generative Adversarial Imitation Learning (GAIL)</t>
  </si>
  <si>
    <t>Adversarial matching of expert occupancy — alternative imitation formulation</t>
  </si>
  <si>
    <t>https://arxiv.org/abs/1606.03476</t>
  </si>
  <si>
    <t>Adversarial training unstable; sample-hungry for real robots</t>
  </si>
  <si>
    <t>Occupancy-matching view of imitation</t>
  </si>
  <si>
    <t>Chi, C., Feng, S., Du, Y., et al.</t>
  </si>
  <si>
    <t>Diffusion Policy: Visuomotor Policy Learning via Action Diffusion</t>
  </si>
  <si>
    <t>SOTA behavioural cloning; multimodal action distributions give a natural behavioural-fidelity/uncertainty signal</t>
  </si>
  <si>
    <t>https://arxiv.org/abs/2303.04137</t>
  </si>
  <si>
    <t>Diffusion inference is compute-heavy — budget tension on edge</t>
  </si>
  <si>
    <t>Strong imitation modality; action-distribution spread → fidelity signal</t>
  </si>
  <si>
    <t>Zhao, T.Z., Kumar, V., Levine, S., Finn, C.</t>
  </si>
  <si>
    <t>Learning Fine-Grained Bimanual Manipulation with Low-Cost Hardware (ACT / ALOHA)</t>
  </si>
  <si>
    <t>Action-chunking transformer for imitation on cheap hardware — directly relevant to low-cost robot learning</t>
  </si>
  <si>
    <t>https://arxiv.org/abs/2304.13705</t>
  </si>
  <si>
    <t>Single-modality imitation; no orchestration or fault handling</t>
  </si>
  <si>
    <t>Low-cost imitation stack close to LeKiwi/LeRobot regime</t>
  </si>
  <si>
    <t>Florence, P., Lynch, C., Zeng, A., et al.</t>
  </si>
  <si>
    <t>Implicit Behavioral Cloning</t>
  </si>
  <si>
    <t>CoRL 2021</t>
  </si>
  <si>
    <t>Energy-based imitation handling multimodal, discontinuous actions — fidelity/representation reference</t>
  </si>
  <si>
    <t>https://arxiv.org/abs/2109.00137</t>
  </si>
  <si>
    <t>Energy-based inference adds compute; no online adaptation</t>
  </si>
  <si>
    <t>Implicit/EBM imitation; alternative fidelity formulation</t>
  </si>
  <si>
    <t>Osa, T., Pajarinen, J., Neumann, G., et al.</t>
  </si>
  <si>
    <t>An Algorithmic Perspective on Imitation Learning</t>
  </si>
  <si>
    <t>Found. &amp; Trends in Robotics</t>
  </si>
  <si>
    <t>Comprehensive imitation-learning survey — taxonomy for the imitation section</t>
  </si>
  <si>
    <t>https://arxiv.org/abs/1811.06711</t>
  </si>
  <si>
    <t>Pre-dates diffusion/VLA imitation methods</t>
  </si>
  <si>
    <t>Survey backbone for the imitation taxonomy</t>
  </si>
  <si>
    <t>Vision Perception &amp; Epistemic Uncertainty</t>
  </si>
  <si>
    <t>Dropout as a Bayesian Approximation: Representing Model Uncertainty in Deep Learning</t>
  </si>
  <si>
    <t>Cheap epistemic uncertainty via MC dropout — practical way to produce the vision modality's confidence on edge</t>
  </si>
  <si>
    <t>Multiple forward passes add latency; quality of uncertainty debated</t>
  </si>
  <si>
    <t>MC-dropout = the vision epistemic-uncertainty signal, cheaply</t>
  </si>
  <si>
    <t>Lakshminarayanan, B., Pritzel, A., Blundell, C.</t>
  </si>
  <si>
    <t>Simple and Scalable Predictive Uncertainty Estimation using Deep Ensembles</t>
  </si>
  <si>
    <t>Ensembles as a strong, simple uncertainty baseline — alternative source of epistemic signal</t>
  </si>
  <si>
    <t>https://arxiv.org/abs/1612.01474</t>
  </si>
  <si>
    <t>N-fold compute/memory — hard to justify under edge budget</t>
  </si>
  <si>
    <t>Gold-standard uncertainty vs edge cost — a core budget trade-off you study</t>
  </si>
  <si>
    <t>What Uncertainties Do We Need in Bayesian Deep Learning for Computer Vision?</t>
  </si>
  <si>
    <t>Separates aleatoric vs epistemic uncertainty — conceptual grounding for which signal the orchestrator should trust</t>
  </si>
  <si>
    <t>Vision-only; fusing across heterogeneous modalities left open</t>
  </si>
  <si>
    <t>Aleatoric/epistemic split — vocabulary for your uncertainty-fusion story</t>
  </si>
  <si>
    <t>Sensoy, M., Kaplan, L., Kandemir, M.</t>
  </si>
  <si>
    <t>Evidential Deep Learning to Quantify Classification Uncertainty</t>
  </si>
  <si>
    <t>NeurIPS 2018</t>
  </si>
  <si>
    <t>Single-pass uncertainty via evidential outputs — low-latency signal ideal for edge</t>
  </si>
  <si>
    <t>https://arxiv.org/abs/1806.01768</t>
  </si>
  <si>
    <t>Calibration can degrade out-of-distribution</t>
  </si>
  <si>
    <t>Single-pass uncertainty — cheapest vision confidence for real-time use</t>
  </si>
  <si>
    <t>Guo, C., Pleiss, G., Sun, Y., Weinberger, K.Q.</t>
  </si>
  <si>
    <t>On Calibration of Modern Neural Networks</t>
  </si>
  <si>
    <t>Shows modern nets are miscalibrated — essential caveat when fusing modality confidences into an allocation policy</t>
  </si>
  <si>
    <t>https://arxiv.org/abs/1706.04599</t>
  </si>
  <si>
    <t>Cross-modality calibration (comparing signals from different learners) unaddressed</t>
  </si>
  <si>
    <t>Calibration matters before fusing — key risk for your federated signals</t>
  </si>
  <si>
    <t>Fault Adaptation &amp; Recovery</t>
  </si>
  <si>
    <t>Cully, A., Clune, J., Tarapore, D., Mouret, J.-B.</t>
  </si>
  <si>
    <t>Robots that can adapt like animals</t>
  </si>
  <si>
    <t>Nature 521</t>
  </si>
  <si>
    <t>Behaviour repertoire + Bayesian trial-and-error recovers from damage in minutes — canonical fault-adaptation modality</t>
  </si>
  <si>
    <t>Paywalled (Nature); author PDF available</t>
  </si>
  <si>
    <t>https://arxiv.org/abs/1407.3501</t>
  </si>
  <si>
    <t>Fault Recovery</t>
  </si>
  <si>
    <t>Fault/Recovery</t>
  </si>
  <si>
    <t>Standalone method; no LLM orchestration or cross-modality budget sharing</t>
  </si>
  <si>
    <t>Recovery-success signal &amp; fault-adaptation modality prototype</t>
  </si>
  <si>
    <t>Bongard, J., Zykov, V., Lipson, H.</t>
  </si>
  <si>
    <t>Resilient Machines Through Continuous Self-Modeling</t>
  </si>
  <si>
    <t>Science 314</t>
  </si>
  <si>
    <t>Robot builds/repairs an internal self-model to recover from damage — foundational fault-adaptive control</t>
  </si>
  <si>
    <t>https://doi.org/10.1126/science.1133687</t>
  </si>
  <si>
    <t>Pre-deep-learning; slow; no learned orchestration</t>
  </si>
  <si>
    <t>Historical anchor for self-modeling recovery</t>
  </si>
  <si>
    <t>Nagabandi, A., Clavera, I., Liu, S., et al.</t>
  </si>
  <si>
    <t>Learning to Adapt in Dynamic, Real-World Environments Through Meta-RL</t>
  </si>
  <si>
    <t>ICLR 2019</t>
  </si>
  <si>
    <t>Online meta-RL adapts within a few steps to broken joints / new dynamics — unifies fault-adaptation + meta-learning, exactly your intersection</t>
  </si>
  <si>
    <t>https://arxiv.org/abs/1803.11347</t>
  </si>
  <si>
    <t>Single learner; no LLM arbitration across multiple modalities</t>
  </si>
  <si>
    <t>Closest prior art: online meta-adaptation to faults — differentiate via multi-modality orchestration</t>
  </si>
  <si>
    <t>Pang, G., Shen, C., Cao, L., van den Hengel, A.</t>
  </si>
  <si>
    <t>Deep Learning for Anomaly Detection: A Review</t>
  </si>
  <si>
    <t>ACM Computing Surveys 54(2)</t>
  </si>
  <si>
    <t>Survey of anomaly/fault detection — methods for the 'when has something gone wrong' trigger</t>
  </si>
  <si>
    <t>https://arxiv.org/abs/2007.02500</t>
  </si>
  <si>
    <t>Detection only — does not cover recovery or adaptation</t>
  </si>
  <si>
    <t>Fault-detection toolbox feeding the recovery modality</t>
  </si>
  <si>
    <t>Parameter-Efficient &amp; On-Device Learning</t>
  </si>
  <si>
    <t>Hu, E.J., Shen, Y., Wallis, P., et al.</t>
  </si>
  <si>
    <t>LoRA: Low-Rank Adaptation of Large Language Models</t>
  </si>
  <si>
    <t>ICLR 2022</t>
  </si>
  <si>
    <t>Low-rank adapters make fine-tuning cheap — the exact mechanism behind your online LoRA fine-tuning</t>
  </si>
  <si>
    <t>https://arxiv.org/abs/2106.09685</t>
  </si>
  <si>
    <t>Systems/PEFT</t>
  </si>
  <si>
    <t>Designed for offline fine-tuning; online/streaming LoRA on robots is open</t>
  </si>
  <si>
    <t>§11</t>
  </si>
  <si>
    <t>The adaptation mechanism your orchestrator uses to improve online</t>
  </si>
  <si>
    <t>Dettmers, T., Pagnoni, A., Holtzman, A., Zettlemoyer, L.</t>
  </si>
  <si>
    <t>QLoRA: Efficient Finetuning of Quantized LLMs</t>
  </si>
  <si>
    <t>Fine-tunes quantised models in tiny memory — makes local-LLM adaptation feasible on edge hardware</t>
  </si>
  <si>
    <t>https://arxiv.org/abs/2305.14314</t>
  </si>
  <si>
    <t>Still batch fine-tuning; latency of on-robot updates untested</t>
  </si>
  <si>
    <t>Memory math that makes a local trainable LLM realistic on the robot</t>
  </si>
  <si>
    <t>Houlsby, N., Giurgiu, A., Jastrzebski, S., et al.</t>
  </si>
  <si>
    <t>Parameter-Efficient Transfer Learning for NLP (Adapters)</t>
  </si>
  <si>
    <t>ICML 2019</t>
  </si>
  <si>
    <t>Original adapter modules — conceptual precursor to LoRA for modality-specific adaptation</t>
  </si>
  <si>
    <t>https://arxiv.org/abs/1902.00751</t>
  </si>
  <si>
    <t>Adds inference latency; superseded by LoRA in practice</t>
  </si>
  <si>
    <t>Adapter lineage; per-modality adapters idea</t>
  </si>
  <si>
    <t>Li, X.L., Liang, P.</t>
  </si>
  <si>
    <t>Prefix-Tuning: Optimizing Continuous Prompts for Generation</t>
  </si>
  <si>
    <t>ACL 2021</t>
  </si>
  <si>
    <t>Tunes a small prefix instead of weights — another lightweight adaptation option</t>
  </si>
  <si>
    <t>https://arxiv.org/abs/2101.00190</t>
  </si>
  <si>
    <t>NLG-focused; embodied use limited</t>
  </si>
  <si>
    <t>Prompt-level adaptation alternative to LoRA</t>
  </si>
  <si>
    <t>Lin, J., Zhu, L., Chen, W.-M., et al.</t>
  </si>
  <si>
    <t>On-Device Training Under 256KB Memory</t>
  </si>
  <si>
    <t>NeurIPS 2022</t>
  </si>
  <si>
    <t>Training on microcontroller-class memory — hard evidence on-device learning is feasible under severe constraints</t>
  </si>
  <si>
    <t>https://arxiv.org/abs/2206.15472</t>
  </si>
  <si>
    <t>Small vision models, not LLMs; no orchestration</t>
  </si>
  <si>
    <t>Feasibility proof for the edge-training premise of the thesis</t>
  </si>
  <si>
    <t>Federated Learning &amp; Uncertainty Fusion</t>
  </si>
  <si>
    <t>McMahan, B., Moore, E., Ramage, D., et al.</t>
  </si>
  <si>
    <t>Communication-Efficient Learning of Deep Networks from Decentralized Data (FedAvg)</t>
  </si>
  <si>
    <t>AISTATS 2017</t>
  </si>
  <si>
    <t>Foundational federated learning — basis for 'federated uncertainty signals' framing across modalities/robots</t>
  </si>
  <si>
    <t>https://arxiv.org/abs/1602.05629</t>
  </si>
  <si>
    <t>Federated</t>
  </si>
  <si>
    <t>Federates weights, not calibrated uncertainty signals — your twist</t>
  </si>
  <si>
    <t>§10</t>
  </si>
  <si>
    <t>Define precisely how your 'federated' differs (fusing confidences, not gradients)</t>
  </si>
  <si>
    <t>Kairouz, P., McMahan, H.B., Avent, B., et al.</t>
  </si>
  <si>
    <t>Advances and Open Problems in Federated Learning</t>
  </si>
  <si>
    <t>Found. &amp; Trends in ML 14(1–2)</t>
  </si>
  <si>
    <t>Definitive FL survey — situates and bounds the federated-signals claim</t>
  </si>
  <si>
    <t>https://arxiv.org/abs/1912.04977</t>
  </si>
  <si>
    <t>Little on real-time robotic or uncertainty-signal federation</t>
  </si>
  <si>
    <t>Scope/terminology reference for the federated framing</t>
  </si>
  <si>
    <t>Qi, J., Zhou, Q., Lei, L., Zheng, K.</t>
  </si>
  <si>
    <t>Federated Reinforcement Learning: Techniques, Applications, and Open Challenges</t>
  </si>
  <si>
    <t>arXiv:2108.11887</t>
  </si>
  <si>
    <t>Survey of federated RL — bridges FL to the RL/robotics setting</t>
  </si>
  <si>
    <t>https://arxiv.org/abs/2108.11887</t>
  </si>
  <si>
    <t>★★☆☆☆</t>
  </si>
  <si>
    <t>Broad survey; edge real-time + uncertainty fusion under-covered</t>
  </si>
  <si>
    <t>Federated-RL context for multi-signal aggregation</t>
  </si>
  <si>
    <t>Continual Learning &amp; Replay</t>
  </si>
  <si>
    <t>Schaul, T., Quan, J., Antonoglou, I., Silver, D.</t>
  </si>
  <si>
    <t>Prioritized Experience Replay</t>
  </si>
  <si>
    <t>ICLR 2016</t>
  </si>
  <si>
    <t>Principled replay-buffer sampling — direct basis for the replay buffers in your online-improvement loop</t>
  </si>
  <si>
    <t>https://arxiv.org/abs/1511.05952</t>
  </si>
  <si>
    <t>Continual</t>
  </si>
  <si>
    <t>Buffer memory cost on edge; prioritisation across heterogeneous modalities open</t>
  </si>
  <si>
    <t>How to sample the replay buffer that trains your orchestrator online</t>
  </si>
  <si>
    <t>Kirkpatrick, J., Pascanu, R., Rabinowitz, N., et al.</t>
  </si>
  <si>
    <t>Overcoming Catastrophic Forgetting in Neural Networks (EWC)</t>
  </si>
  <si>
    <t>PNAS 114(13)</t>
  </si>
  <si>
    <t>Regularises against forgetting — essential when the orchestrator keeps updating on-device</t>
  </si>
  <si>
    <t>https://arxiv.org/abs/1612.00796</t>
  </si>
  <si>
    <t>Scales poorly to many tasks; unclear for LoRA-based updates</t>
  </si>
  <si>
    <t>Forgetting is the key risk of online LoRA — mitigation reference</t>
  </si>
  <si>
    <t>Lopez-Paz, D., Ranzato, M.</t>
  </si>
  <si>
    <t>Gradient Episodic Memory for Continual Learning (GEM)</t>
  </si>
  <si>
    <t>Memory-based continual learning with backward-transfer guarantees — replay-with-constraints reference</t>
  </si>
  <si>
    <t>https://arxiv.org/abs/1706.08840</t>
  </si>
  <si>
    <t>Per-step QP overhead heavy for edge</t>
  </si>
  <si>
    <t>Episodic-memory constraint on updates; complements replay buffer</t>
  </si>
  <si>
    <t>Rolnick, D., Ahuja, A., Schwarz, J., et al.</t>
  </si>
  <si>
    <t>Experience Replay for Continual Learning (CLEAR)</t>
  </si>
  <si>
    <t>NeurIPS 2019</t>
  </si>
  <si>
    <t>Replay stabilises continual RL — directly supports replay in a lifelong on-robot learner</t>
  </si>
  <si>
    <t>https://arxiv.org/abs/1811.11682</t>
  </si>
  <si>
    <t>Assumes ample memory; edge buffer budgeting unaddressed</t>
  </si>
  <si>
    <t>Replay for continual RL — evidence your replay design will stabilise learning</t>
  </si>
  <si>
    <t>De Lange, M., Aljundi, R., Masana, M., et al.</t>
  </si>
  <si>
    <t>A Continual Learning Survey: Defying Forgetting in Classification Tasks</t>
  </si>
  <si>
    <t>IEEE TPAMI 44(7)</t>
  </si>
  <si>
    <t>Comprehensive continual-learning survey — taxonomy for the on-device adaptation section</t>
  </si>
  <si>
    <t>https://arxiv.org/abs/1909.08383</t>
  </si>
  <si>
    <t>Classification-focused; robotics/RL continual learning lighter</t>
  </si>
  <si>
    <t>Survey backbone for continual-learning taxonomy</t>
  </si>
  <si>
    <t>Adaptive Computation, MoE &amp; Routing</t>
  </si>
  <si>
    <t>Shazeer, N., Mirhoseini, A., Maziarz, K., et al.</t>
  </si>
  <si>
    <t>Outrageously Large Neural Networks: The Sparsely-Gated Mixture-of-Experts Layer</t>
  </si>
  <si>
    <t>ICLR 2017</t>
  </si>
  <si>
    <t>Learned gating routes inputs to experts — direct architectural analog to routing tasks to learning modalities</t>
  </si>
  <si>
    <t>https://arxiv.org/abs/1701.06538</t>
  </si>
  <si>
    <t>Multi-Modality Routing</t>
  </si>
  <si>
    <t>MoE/Routing</t>
  </si>
  <si>
    <t>Gating learned end-to-end within one net — not an LLM over heterogeneous *learners* with uncertainty</t>
  </si>
  <si>
    <t>§12</t>
  </si>
  <si>
    <t>Formal precedent for learned routing; position orchestrator as MoE over learners</t>
  </si>
  <si>
    <t>Fedus, W., Zoph, B., Shazeer, N.</t>
  </si>
  <si>
    <t>Switch Transformers: Scaling to Trillion Parameter Models with Simple and Efficient Sparsity</t>
  </si>
  <si>
    <t>JMLR 23</t>
  </si>
  <si>
    <t>Simplified top-1 routing — efficient gating design relevant to low-overhead modality selection</t>
  </si>
  <si>
    <t>https://arxiv.org/abs/2101.03961</t>
  </si>
  <si>
    <t>Routing is token-level in one model, not budget allocation across modalities</t>
  </si>
  <si>
    <t>Efficient routing tricks (load balancing) transferable to modality allocation</t>
  </si>
  <si>
    <t>Graves, A.</t>
  </si>
  <si>
    <t>Adaptive Computation Time for Recurrent Neural Networks</t>
  </si>
  <si>
    <t>arXiv:1603.08983</t>
  </si>
  <si>
    <t>Learns how much compute to spend per input — conceptual core of 'dynamically allocate computational budget'</t>
  </si>
  <si>
    <t>https://arxiv.org/abs/1603.08983</t>
  </si>
  <si>
    <t>Within a single net; not across separate learners on real hardware</t>
  </si>
  <si>
    <t>Foundational 'learn the compute budget' idea your thesis generalises to modalities</t>
  </si>
  <si>
    <t>Hardware, Benchmarks &amp; Mobile Manipulation</t>
  </si>
  <si>
    <t>Fu, Z., Zhao, T.Z., Finn, C.</t>
  </si>
  <si>
    <t>Mobile ALOHA: Learning Bimanual Mobile Manipulation with Low-Cost Whole-Body Teleoperation</t>
  </si>
  <si>
    <t>Low-cost mobile manipulation via imitation — closest hardware/task analog to the LeKiwi setup</t>
  </si>
  <si>
    <t>https://arxiv.org/abs/2401.02117</t>
  </si>
  <si>
    <t>Hardware</t>
  </si>
  <si>
    <t>Imitation-only; no orchestration, uncertainty, or on-device learning</t>
  </si>
  <si>
    <t>§13</t>
  </si>
  <si>
    <t>Hardware/task comparator for your LeKiwi mobile-manipulator trials</t>
  </si>
  <si>
    <t>Cadene, R., Alibert, S., Soare, A., et al. (Hugging Face)</t>
  </si>
  <si>
    <t>LeRobot: State-of-the-Art Machine Learning for Real-World Robotics in PyTorch</t>
  </si>
  <si>
    <t>GitHub / Hugging Face</t>
  </si>
  <si>
    <t>Open robot-learning stack for low-cost hardware (incl. the LeKiwi platform) — the software substrate of the thesis</t>
  </si>
  <si>
    <t>Open Source</t>
  </si>
  <si>
    <t>https://github.com/huggingface/lerobot</t>
  </si>
  <si>
    <t>Software/tooling</t>
  </si>
  <si>
    <t>Library, not a peer-reviewed method; cite release/commit + docs</t>
  </si>
  <si>
    <t>The platform your system is implemented on — pin the version you used</t>
  </si>
  <si>
    <t>Open X-Embodiment Collaboration</t>
  </si>
  <si>
    <t>Open X-Embodiment: Robotic Learning Datasets and RT-X Models</t>
  </si>
  <si>
    <t>ICRA 2024</t>
  </si>
  <si>
    <t>Cross-embodiment datasets/models — context for transfer across robots and data-scarce edge learning</t>
  </si>
  <si>
    <t>https://arxiv.org/abs/2310.08864</t>
  </si>
  <si>
    <t>Large-scale/cloud training; on-device adaptation not the focus</t>
  </si>
  <si>
    <t>Cross-embodiment transfer backdrop for generalisation claims</t>
  </si>
  <si>
    <t>Survey Outline — Meta-Learning Orchestration of Heterogeneous Learning Modalities on Resource-Constrained Robots</t>
  </si>
  <si>
    <t>Thesis claim: a local LLM learns to allocate compute across four learning modes (vision/epistemic, RL/policy-variance, imitation/behavioural fidelity, fault/recovery) from federated uncertainty signals, improving online via LoRA + replay. §12 is the DEEP chapter (the learned orchestrator = the core novelty).</t>
  </si>
  <si>
    <t>Feeds from (Sheet1 categories)</t>
  </si>
  <si>
    <t>Define the problem: adaptive embodied agents on edge hardware. State the thesis, the four learning modes, and the orchestration claim; delimit scope (single robot, on-device, no cloud) and contributions.</t>
  </si>
  <si>
    <t>Background: Learning Modalities in Robotics</t>
  </si>
  <si>
    <t>Primer on the four paradigms (perception, RL, imitation, fault recovery); why each alone is insufficient; the case for composing them.</t>
  </si>
  <si>
    <t>RL; Imitation; Vision Uncertainty; Fault Adaptation</t>
  </si>
  <si>
    <t>LLMs as Planners &amp; Orchestrators for Embodied Agents</t>
  </si>
  <si>
    <t>Survey LLM-driven planning/tool-use/agent loops; frozen-LLM coordination as the baseline your learned orchestrator must beat.</t>
  </si>
  <si>
    <t>Generalist/monolithic policies; why huge single models don't fit edge; motivates a small local LLM + modular modalities.</t>
  </si>
  <si>
    <t>Modality 1 — Vision Perception with Epistemic Uncertainty</t>
  </si>
  <si>
    <t>How the vision mode produces a calibrated epistemic-uncertainty confidence (MC-dropout, ensembles, evidential); calibration caveats before fusion.</t>
  </si>
  <si>
    <t>Modality 2 — Reinforcement Learning with Policy Variance</t>
  </si>
  <si>
    <t>RL backbones and how policy/value variance (entropy, ensembles, twin critics) becomes the RL confidence signal.</t>
  </si>
  <si>
    <t>Modality 3 — Imitation with Behavioural Fidelity</t>
  </si>
  <si>
    <t>LfD methods and how action-distribution spread / reconstruction gives a behavioural-fidelity confidence.</t>
  </si>
  <si>
    <t>Modality 4 — Fault Adaptation &amp; Recovery</t>
  </si>
  <si>
    <t>Detection + recovery methods and how recovery-success rate becomes the fault-mode confidence; closest prior art (online meta-adaptation to damage).</t>
  </si>
  <si>
    <t>Meta-Learning &amp; Learning-to-Learn (the orchestration backbone)</t>
  </si>
  <si>
    <t>Meta-learning / meta-RL as the mechanism by which the orchestrator learns *which* modality to invoke and adapts fast.</t>
  </si>
  <si>
    <t>Uncertainty Fusion &amp; Federated Confidence Signals</t>
  </si>
  <si>
    <t>How heterogeneous confidences are made comparable and fused into an allocation policy; what 'federated' means here vs classic FL.</t>
  </si>
  <si>
    <t>Federated Learning &amp; Uncertainty Fusion; Vision Uncertainty</t>
  </si>
  <si>
    <t>On-Device Adaptation: LoRA, Replay &amp; Continual Learning</t>
  </si>
  <si>
    <t>Online LoRA fine-tuning, replay buffers, and forgetting mitigation under edge memory/compute; feasibility of training on the robot.</t>
  </si>
  <si>
    <t>Parameter-Efficient &amp; On-Device Learning; Continual Learning &amp; Replay</t>
  </si>
  <si>
    <t>Adaptive Computation, MoE &amp; Modality Routing (DEEP — core novelty)</t>
  </si>
  <si>
    <t>Learned routing / adaptive compute as the formal lens on the orchestrator; position the thesis as an MoE-over-learners with a learned, uncertainty-gated, compute-budgeted gate. Identifies the gap.</t>
  </si>
  <si>
    <t>DEEP — core contribution</t>
  </si>
  <si>
    <t>LeKiwi / LeRobot platform, comparable low-cost mobile-manipulation work, and how to position 50+ hardware trials.</t>
  </si>
  <si>
    <t>Synthesise gaps (Gap Relevance = High rows): online uncertainty calibration across modalities, real-time LoRA, safety of self-modifying learners; motivate experiments.</t>
  </si>
  <si>
    <t>Recap the composition novelty (heterogeneous modes + meta-learning orchestration on constrained hardware) and the empirical claims.</t>
  </si>
  <si>
    <t>Huang, W., Abbeel, P., Pathak, D., Mordatch, I.</t>
  </si>
  <si>
    <t>Language Models as Zero-Shot Planners: Extracting Actionable Knowledge for Embodied Agents</t>
  </si>
  <si>
    <t>ICML 2022</t>
  </si>
  <si>
    <t>First to show a frozen LLM emits executable embodied plans zero-shot — the canonical frozen-LLM coordination baseline your learned orchestrator must beat</t>
  </si>
  <si>
    <t>https://arxiv.org/abs/2201.07207</t>
  </si>
  <si>
    <t>No grounding, feedback, or learning — open-loop and frozen</t>
  </si>
  <si>
    <t>Origin of LLM-as-planner; the exact frozen baseline in your comparison</t>
  </si>
  <si>
    <t>Shah, D., Osiński, B., Ichter, B., Levine, S.</t>
  </si>
  <si>
    <t>LM-Nav: Robotic Navigation with Large Pre-Trained Models of Language, Vision, and Action</t>
  </si>
  <si>
    <t>Composes three frozen models (LLM + VLM + nav policy) without training — multi-model orchestration precedent</t>
  </si>
  <si>
    <t>https://arxiv.org/abs/2207.04429</t>
  </si>
  <si>
    <t>Fixed hand-designed composition; no learned or adaptive routing</t>
  </si>
  <si>
    <t>Hand-wired multi-model pipeline vs your learned allocation</t>
  </si>
  <si>
    <t>Song, C.H., Wu, J., Washington, C., et al.</t>
  </si>
  <si>
    <t>LLM-Planner: Few-Shot Grounded Planning for Embodied Agents with Large Language Models</t>
  </si>
  <si>
    <t>ICCV 2023</t>
  </si>
  <si>
    <t>Grounded, re-planning few-shot LLM planner that revises plans on failure — feedback-driven orchestration</t>
  </si>
  <si>
    <t>https://arxiv.org/abs/2212.04088</t>
  </si>
  <si>
    <t>Replanning is heuristic; no learned policy or uncertainty signal</t>
  </si>
  <si>
    <t>Failure-triggered replanning; your version is uncertainty-gated + learned</t>
  </si>
  <si>
    <t>Yao, S., Yu, D., Zhao, J., et al.</t>
  </si>
  <si>
    <t>Tree of Thoughts: Deliberate Problem Solving with Large Language Models</t>
  </si>
  <si>
    <t>Deliberate search over alternative reasoning paths — relevant to an LLM weighing which modality/strategy to invoke</t>
  </si>
  <si>
    <t>https://arxiv.org/abs/2305.10601</t>
  </si>
  <si>
    <t>Search cost high for real-time edge; not embodied</t>
  </si>
  <si>
    <t>Deliberate option-search framing for modality selection</t>
  </si>
  <si>
    <t>Jiang, Y., Gupta, A., Zhang, Z., et al.</t>
  </si>
  <si>
    <t>VIMA: General Robot Manipulation with Multimodal Prompts</t>
  </si>
  <si>
    <t>Unifies task specs as multimodal prompts — flexible interface for an orchestrator to drive manipulation</t>
  </si>
  <si>
    <t>https://arxiv.org/abs/2210.03094</t>
  </si>
  <si>
    <t>Mostly simulation; no on-device adaptation</t>
  </si>
  <si>
    <t>Multimodal-prompt policy interface</t>
  </si>
  <si>
    <t>Shridhar, M., Manuelli, L., Fox, D.</t>
  </si>
  <si>
    <t>Perceiver-Actor: A Multi-Task Transformer for Robotic Manipulation (PerAct)</t>
  </si>
  <si>
    <t>Voxel-based multi-task manipulation transformer — sample-efficient policy backbone candidate</t>
  </si>
  <si>
    <t>https://arxiv.org/abs/2209.05451</t>
  </si>
  <si>
    <t>Needs voxel input; heavy for edge</t>
  </si>
  <si>
    <t>Sample-efficient multi-task manipulation policy</t>
  </si>
  <si>
    <t>CLIPort: What and Where Pathways for Robotic Manipulation</t>
  </si>
  <si>
    <t>Fuses CLIP semantics with spatial precision — language-conditioned manipulation reference</t>
  </si>
  <si>
    <t>https://arxiv.org/abs/2109.12098</t>
  </si>
  <si>
    <t>2D top-down assumption; limited generality</t>
  </si>
  <si>
    <t>Semantics+spatial fusion for the vision/manipulation path</t>
  </si>
  <si>
    <t>Li, X., Liu, M., Zhang, H., et al.</t>
  </si>
  <si>
    <t>Vision-Language Foundation Models as Effective Robot Imitators (RoboFlamingo)</t>
  </si>
  <si>
    <t>ICLR 2024</t>
  </si>
  <si>
    <t>Efficiently adapts a VLM into a manipulation policy — practical, forkable VLA for a modality</t>
  </si>
  <si>
    <t>https://arxiv.org/abs/2311.01378</t>
  </si>
  <si>
    <t>Fine-tuning offline; online on-robot updates untested</t>
  </si>
  <si>
    <t>Cheap VLM→policy adaptation route</t>
  </si>
  <si>
    <t>Rakelly, K., Zhou, A., Finn, C., et al.</t>
  </si>
  <si>
    <t>Efficient Off-Policy Meta-Reinforcement Learning via Probabilistic Context Variables (PEARL)</t>
  </si>
  <si>
    <t>Infers a probabilistic task context — uncertainty-aware fast adaptation, directly aligned with confidence-driven orchestration</t>
  </si>
  <si>
    <t>https://arxiv.org/abs/1903.08254</t>
  </si>
  <si>
    <t>Sim benchmarks; no LLM, no real edge hardware</t>
  </si>
  <si>
    <t>Probabilistic-context meta-RL — uncertainty as adaptation driver</t>
  </si>
  <si>
    <t>Zintgraf, L., Shiarlis, K., Igl, M., et al.</t>
  </si>
  <si>
    <t>VariBAD: A Very Good Method for Bayes-Adaptive Deep RL via Meta-Learning</t>
  </si>
  <si>
    <t>ICLR 2020</t>
  </si>
  <si>
    <t>Maintains a belief over the task and acts under that uncertainty — principled template for uncertainty-driven strategy selection</t>
  </si>
  <si>
    <t>https://arxiv.org/abs/1910.08348</t>
  </si>
  <si>
    <t>Belief model adds compute; scaling to real robots open</t>
  </si>
  <si>
    <t>Bayes-adaptive RL — formal basis for acting under modality uncertainty</t>
  </si>
  <si>
    <t>Hospedales, T., Antoniou, A., Micaelli, P., Storkey, A.</t>
  </si>
  <si>
    <t>Meta-Learning in Neural Networks: A Survey</t>
  </si>
  <si>
    <t>IEEE TPAMI 44(9)</t>
  </si>
  <si>
    <t>Definitive meta-learning survey — taxonomy for the orchestration-backbone section</t>
  </si>
  <si>
    <t>https://arxiv.org/abs/2004.05439</t>
  </si>
  <si>
    <t>Pre-dates LLM-based meta-learning/orchestration</t>
  </si>
  <si>
    <t>Survey backbone for meta-learning taxonomy</t>
  </si>
  <si>
    <t>Mnih, V., Kavukcuoglu, K., Silver, D., et al.</t>
  </si>
  <si>
    <t>Human-level Control through Deep Reinforcement Learning (DQN)</t>
  </si>
  <si>
    <t>Nature 518</t>
  </si>
  <si>
    <t>Foundational deep RL; introduced experience replay — historical anchor for the RL modality and replay design</t>
  </si>
  <si>
    <t>https://doi.org/10.1038/nature14236</t>
  </si>
  <si>
    <t>Discrete actions; data-hungry; no uncertainty</t>
  </si>
  <si>
    <t>Origin of replay-based deep RL</t>
  </si>
  <si>
    <t>Andrychowicz, M., Wolski, F., Ray, A., et al.</t>
  </si>
  <si>
    <t>Hindsight Experience Replay</t>
  </si>
  <si>
    <t>Sample-efficient sparse-reward robot RL via goal-relabelled replay — directly informs your replay-buffer design</t>
  </si>
  <si>
    <t>https://arxiv.org/abs/1707.01495</t>
  </si>
  <si>
    <t>Assumes goal-conditioned tasks; buffer memory cost on edge</t>
  </si>
  <si>
    <t>Relabelled replay — concrete technique for the online replay buffer</t>
  </si>
  <si>
    <t>Burda, Y., Edwards, H., Storkey, A., Klimov, O.</t>
  </si>
  <si>
    <t>Exploration by Random Network Distillation</t>
  </si>
  <si>
    <t>Prediction-error novelty signal — a cheap way to flag unseen states/faults the robot hasn't encountered</t>
  </si>
  <si>
    <t>https://arxiv.org/abs/1810.12894</t>
  </si>
  <si>
    <t>Novelty ≠ calibrated confidence; tuning-sensitive</t>
  </si>
  <si>
    <t>Novelty/curiosity as a fault/unseen-state trigger for the orchestrator</t>
  </si>
  <si>
    <t>Kumar, A., Zhou, A., Tucker, G., Levine, S.</t>
  </si>
  <si>
    <t>Conservative Q-Learning for Offline Reinforcement Learning (CQL)</t>
  </si>
  <si>
    <t>NeurIPS 2020</t>
  </si>
  <si>
    <t>Learns policies from static buffers without new interaction — relevant to learning from on-device replay data</t>
  </si>
  <si>
    <t>https://arxiv.org/abs/2006.04779</t>
  </si>
  <si>
    <t>Conservative bias; needs decent buffer coverage</t>
  </si>
  <si>
    <t>Offline RL from buffers — complements online replay updates</t>
  </si>
  <si>
    <t>Duan, Y., Andrychowicz, M., Stadie, B., et al.</t>
  </si>
  <si>
    <t>One-Shot Imitation Learning</t>
  </si>
  <si>
    <t>Meta-learns to imitate from a single demo — unites imitation with meta-learning, an intersection your thesis exploits</t>
  </si>
  <si>
    <t>https://arxiv.org/abs/1703.07326</t>
  </si>
  <si>
    <t>Simulated; single-modality; no orchestration</t>
  </si>
  <si>
    <t>Meta + imitation crossover — supports fast on-robot imitation adaptation</t>
  </si>
  <si>
    <t>Jang, E., Irpan, A., Khansari, M., et al.</t>
  </si>
  <si>
    <t>BC-Z: Zero-Shot Task Generalization with Robotic Imitation Learning</t>
  </si>
  <si>
    <t>Large-scale conditional imitation generalising to new tasks — imitation-modality scalability reference</t>
  </si>
  <si>
    <t>https://arxiv.org/abs/2202.02005</t>
  </si>
  <si>
    <t>Needs large demo corpus; no on-device learning</t>
  </si>
  <si>
    <t>Conditional imitation generalisation baseline</t>
  </si>
  <si>
    <t>Lynch, C., Khansari, M., Xiao, T., et al.</t>
  </si>
  <si>
    <t>Learning Latent Plans from Play</t>
  </si>
  <si>
    <t>Self-supervised skills from unstructured play data — low-cost demonstration source for imitation</t>
  </si>
  <si>
    <t>https://arxiv.org/abs/1903.01973</t>
  </si>
  <si>
    <t>Requires large play datasets; goal-conditioned only</t>
  </si>
  <si>
    <t>Play-based skill acquisition — cheap demo pipeline</t>
  </si>
  <si>
    <t>Hendrycks, D., Gimpel, K.</t>
  </si>
  <si>
    <t>A Baseline for Detecting Misclassified and Out-of-Distribution Examples in Neural Networks</t>
  </si>
  <si>
    <t>Max-softmax OOD baseline — cheapest novelty/OOD signal to trigger caution or the fault modality</t>
  </si>
  <si>
    <t>https://arxiv.org/abs/1610.02136</t>
  </si>
  <si>
    <t>Overconfident on hard OOD; weak calibration</t>
  </si>
  <si>
    <t>OOD/novelty detection — links perception uncertainty to fault triggering</t>
  </si>
  <si>
    <t>Amini, A., Schwarting, W., Soleimany, A., Rus, D.</t>
  </si>
  <si>
    <t>Deep Evidential Regression</t>
  </si>
  <si>
    <t>Single-pass uncertainty for regression — low-latency confidence for continuous perception/control outputs</t>
  </si>
  <si>
    <t>https://arxiv.org/abs/1910.02600</t>
  </si>
  <si>
    <t>Can be miscalibrated OOD; sensitive to loss weighting</t>
  </si>
  <si>
    <t>Cheap regression uncertainty for control-side confidence</t>
  </si>
  <si>
    <t>Kendall, A., Gal, Y., Cipolla, R.</t>
  </si>
  <si>
    <t>Multi-Task Learning Using Uncertainty to Weigh Losses for Scene Geometry and Semantics</t>
  </si>
  <si>
    <t>CVPR 2018</t>
  </si>
  <si>
    <t>Weights multiple heads by their uncertainty — a direct, proven template for fusing modality confidences into one allocation policy</t>
  </si>
  <si>
    <t>https://arxiv.org/abs/1705.07115</t>
  </si>
  <si>
    <t>Static learned weights, not a dynamic real-time allocator across separate learners</t>
  </si>
  <si>
    <t>Uncertainty-weighted fusion — closest mechanism to your signal-fusion policy</t>
  </si>
  <si>
    <t>Gawlikowski, J., Tassi, C.R.N., Ali, M., et al.</t>
  </si>
  <si>
    <t>A Survey of Uncertainty in Deep Neural Networks</t>
  </si>
  <si>
    <t>Artificial Intelligence Review 56</t>
  </si>
  <si>
    <t>Comprehensive uncertainty-quantification survey — backbone for the uncertainty sections</t>
  </si>
  <si>
    <t>https://arxiv.org/abs/2107.03342</t>
  </si>
  <si>
    <t>General ML; robotics/real-time treatment light</t>
  </si>
  <si>
    <t>Survey backbone for uncertainty quantification taxonomy</t>
  </si>
  <si>
    <t>Kumar, A., Fu, Z., Pathak, D., Malik, J.</t>
  </si>
  <si>
    <t>RMA: Rapid Motor Adaptation for Legged Robots</t>
  </si>
  <si>
    <t>RSS 2021</t>
  </si>
  <si>
    <t>An adaptation module reacts on-robot within a fraction of a second to payload/terrain/actuator changes — strong precedent for real-time fault adaptation on hardware</t>
  </si>
  <si>
    <t>https://arxiv.org/abs/2107.04034</t>
  </si>
  <si>
    <t>Single learner, locomotion-specific; no LLM arbitration or cross-modality budget</t>
  </si>
  <si>
    <t>Real-time on-robot adaptation — recovery-success modality benchmark</t>
  </si>
  <si>
    <t>Tobin, J., Fong, R., Ray, A., et al.</t>
  </si>
  <si>
    <t>Domain Randomization for Transferring Deep Neural Networks from Simulation to the Real World</t>
  </si>
  <si>
    <t>IROS 2017</t>
  </si>
  <si>
    <t>Randomised training for robustness to unmodelled/novel conditions — relevant to surviving faults never seen before</t>
  </si>
  <si>
    <t>https://arxiv.org/abs/1703.06907</t>
  </si>
  <si>
    <t>Robustness is baked-in offline, not learned/adapted online</t>
  </si>
  <si>
    <t>Offline robustness vs your online adaptation — useful contrast</t>
  </si>
  <si>
    <t>Cai, H., Gan, C., Zhu, L., Han, S.</t>
  </si>
  <si>
    <t>TinyTL: Reduce Memory, Not Parameters for Efficient On-Device Learning</t>
  </si>
  <si>
    <t>Cuts activation memory (not params) to enable on-device transfer learning — the memory-side complement to LoRA for edge training</t>
  </si>
  <si>
    <t>https://arxiv.org/abs/2007.11622</t>
  </si>
  <si>
    <t>Vision models; LLM-scale on-device training still hard</t>
  </si>
  <si>
    <t>Activation-memory is the real edge bottleneck for online fine-tuning</t>
  </si>
  <si>
    <t>Lin, J., Chen, W.-M., Lin, Y., et al.</t>
  </si>
  <si>
    <t>MCUNet: Tiny Deep Learning on IoT Devices</t>
  </si>
  <si>
    <t>Model+system co-design for microcontroller-class inference — evidence the edge deployment target is realistic</t>
  </si>
  <si>
    <t>https://arxiv.org/abs/2007.10319</t>
  </si>
  <si>
    <t>Inference-focused; training on-device out of scope</t>
  </si>
  <si>
    <t>Edge inference feasibility reference</t>
  </si>
  <si>
    <t>Liu, H., Tam, D., Muqeeth, M., et al.</t>
  </si>
  <si>
    <t>Few-Shot Parameter-Efficient Fine-Tuning is Better and Cheaper than In-Context Learning (T-Few / (IA)³)</t>
  </si>
  <si>
    <t>Shows PEFT beats prompting at lower cost — supports weight-level online adaptation over in-context tricks for the orchestrator</t>
  </si>
  <si>
    <t>https://arxiv.org/abs/2205.05638</t>
  </si>
  <si>
    <t>NLP tasks; embodied/online setting untested</t>
  </si>
  <si>
    <t>Justifies fine-tuning (LoRA/(IA)³) over prompting for adaptation</t>
  </si>
  <si>
    <t>Li, T., Sahu, A.K., Zaheer, M., et al.</t>
  </si>
  <si>
    <t>Federated Optimization in Heterogeneous Networks (FedProx)</t>
  </si>
  <si>
    <t>MLSys 2020</t>
  </si>
  <si>
    <t>FL under system/statistical heterogeneity — aligns with fusing signals from heterogeneous learners/robots</t>
  </si>
  <si>
    <t>https://arxiv.org/abs/1812.06127</t>
  </si>
  <si>
    <t>Aggregates weights, not calibrated uncertainty signals</t>
  </si>
  <si>
    <t>Heterogeneity-robust FL — contrast with your confidence-signal fusion</t>
  </si>
  <si>
    <t>Baltrušaitis, T., Ahuja, C., Morency, L.-P.</t>
  </si>
  <si>
    <t>Multimodal Machine Learning: A Survey and Taxonomy</t>
  </si>
  <si>
    <t>IEEE TPAMI 41(2)</t>
  </si>
  <si>
    <t>Canonical taxonomy of fusion across heterogeneous modalities — vocabulary for your uncertainty-fusion story</t>
  </si>
  <si>
    <t>https://arxiv.org/abs/1705.09406</t>
  </si>
  <si>
    <t>Pre-dates uncertainty-gated / learned fusion policies</t>
  </si>
  <si>
    <t>Fusion taxonomy reference for the multi-modality signal section</t>
  </si>
  <si>
    <t>Rebuffi, S.-A., Kolesnikov, A., Sperl, G., Lampert, C.H.</t>
  </si>
  <si>
    <t>iCaRL: Incremental Classifier and Representation Learning</t>
  </si>
  <si>
    <t>CVPR 2017</t>
  </si>
  <si>
    <t>Exemplar-replay for class-incremental learning — template for choosing which experiences to retain on device</t>
  </si>
  <si>
    <t>https://arxiv.org/abs/1611.07725</t>
  </si>
  <si>
    <t>Classification-centric; exemplar memory budgeting on edge open</t>
  </si>
  <si>
    <t>Exemplar-selection strategy for the replay buffer</t>
  </si>
  <si>
    <t>Rusu, A.A., Rabinowitz, N.C., Desjardins, G., et al.</t>
  </si>
  <si>
    <t>Progressive Neural Networks</t>
  </si>
  <si>
    <t>arXiv:1606.04671</t>
  </si>
  <si>
    <t>Adds new capacity per task with zero forgetting — architectural analog to growing per-modality adapters</t>
  </si>
  <si>
    <t>https://arxiv.org/abs/1606.04671</t>
  </si>
  <si>
    <t>Parameters grow unboundedly — poor fit for fixed edge memory</t>
  </si>
  <si>
    <t>Grow-capacity-per-task idea; contrast with bounded LoRA adapters</t>
  </si>
  <si>
    <t>Rosenbaum, C., Klinger, T., Riemer, M.</t>
  </si>
  <si>
    <t>Routing Networks: Adaptive Selection of Non-linear Functions for Multi-Task Learning</t>
  </si>
  <si>
    <t>ICLR 2018</t>
  </si>
  <si>
    <t>An RL-trained router selects which module to apply per input — the closest architectural precedent to a learned modality router</t>
  </si>
  <si>
    <t>https://arxiv.org/abs/1711.01239</t>
  </si>
  <si>
    <t>Routes among network modules, not heterogeneous *learners* with uncertainty on hardware</t>
  </si>
  <si>
    <t>Learned router precedent — frame your orchestrator as a routing network over learners</t>
  </si>
  <si>
    <t>Puigcerver, J., Riquelme, C., Mustafa, B., Houlsby, N.</t>
  </si>
  <si>
    <t>From Sparse to Soft Mixtures of Experts (Soft MoE)</t>
  </si>
  <si>
    <t>Differentiable soft routing — a smoother, trainable alternative to hard modality selection</t>
  </si>
  <si>
    <t>https://arxiv.org/abs/2308.00951</t>
  </si>
  <si>
    <t>Soft routing spends compute on all experts — tension with a hard edge budget</t>
  </si>
  <si>
    <t>Soft vs hard routing trade-off for compute-budgeted allocation</t>
  </si>
  <si>
    <t>Mandlekar, A., Xu, D., Wong, J., et al.</t>
  </si>
  <si>
    <t>What Matters in Learning from Offline Human Demonstrations for Robot Manipulation (robomimic)</t>
  </si>
  <si>
    <t>Rigorous study + benchmark for imitation from human demos — evaluation methodology for the imitation modality</t>
  </si>
  <si>
    <t>https://arxiv.org/abs/2108.03298</t>
  </si>
  <si>
    <t>Mostly sim/tabletop; not mobile manipulation</t>
  </si>
  <si>
    <t>Benchmark + best-practices for evaluating imitation</t>
  </si>
  <si>
    <t>Mees, O., Hermann, L., Rosete-Beas, E., Burgard, W.</t>
  </si>
  <si>
    <t>CALVIN: A Benchmark for Language-Conditioned Long-Horizon Robot Manipulation</t>
  </si>
  <si>
    <t>IEEE RA-L 7(3)</t>
  </si>
  <si>
    <t>Language-conditioned long-horizon manipulation benchmark — positions multi-step, instruction-driven evaluation</t>
  </si>
  <si>
    <t>https://arxiv.org/abs/2112.03227</t>
  </si>
  <si>
    <t>Simulation benchmark; sim-to-real gap</t>
  </si>
  <si>
    <t>Long-horizon language-conditioned eval reference</t>
  </si>
  <si>
    <t>James, S., Ma, Z., Arrojo, D.R., Davison, A.J.</t>
  </si>
  <si>
    <t>RLBench: The Robot Learning Benchmark &amp; Learning Environment</t>
  </si>
  <si>
    <t>IEEE RA-L 5(2)</t>
  </si>
  <si>
    <t>Large multi-task manipulation benchmark — standard evaluation suite to situate results</t>
  </si>
  <si>
    <t>https://arxiv.org/abs/1909.12271</t>
  </si>
  <si>
    <t>Simulation-only; fixed-arm, not mobile</t>
  </si>
  <si>
    <t>Multi-task benchmark comparator</t>
  </si>
  <si>
    <t>Quantum Algorithms</t>
  </si>
  <si>
    <t>§4,§5</t>
  </si>
  <si>
    <t>§3,§8</t>
  </si>
  <si>
    <t>Quantum Hardware</t>
  </si>
  <si>
    <t>Classical Robotics</t>
  </si>
  <si>
    <t>Dequantization Critique</t>
  </si>
  <si>
    <t>§4,§16</t>
  </si>
  <si>
    <t>§5,§6</t>
  </si>
  <si>
    <t>Experimental Methods</t>
  </si>
  <si>
    <t>§10,§17</t>
  </si>
  <si>
    <t>Robot Decision-Making</t>
  </si>
  <si>
    <t>§5,§9</t>
  </si>
  <si>
    <t>Neuroscience</t>
  </si>
  <si>
    <t>§16</t>
  </si>
  <si>
    <t>Ethics &amp; Safety</t>
  </si>
  <si>
    <t>Responsible AI for Autonomous Systems</t>
  </si>
  <si>
    <t>§14</t>
  </si>
  <si>
    <t>Corke, P.</t>
  </si>
  <si>
    <t>Robotics, Vision and Control: Fundamental Algorithms in MATLAB</t>
  </si>
  <si>
    <t>Standard reference for robot kinematics, DH parameters, inverse kinematics; classical baseline for roboticists</t>
  </si>
  <si>
    <t>To find</t>
  </si>
  <si>
    <t>Kinematics &amp; Control</t>
  </si>
  <si>
    <t>Classical</t>
  </si>
  <si>
    <t>Priority 1 gap paper. Added from Missing Papers list. Serves: Survey §4.</t>
  </si>
  <si>
    <t>Lynch, K., Park, F.</t>
  </si>
  <si>
    <t>Modern Robotics: Mechanics, Planning, and Control</t>
  </si>
  <si>
    <t>Comprehensive on robot dynamics, control theory, trajectory planning</t>
  </si>
  <si>
    <t>Murray, R., Li, Z., Sastry, S.</t>
  </si>
  <si>
    <t>A Mathematical Introduction to Robotic Manipulation</t>
  </si>
  <si>
    <t>Rigorous mathematical foundation for kinematics &amp; control</t>
  </si>
  <si>
    <t>§2,§4</t>
  </si>
  <si>
    <t>Priority 1 gap paper. Added from Missing Papers list. Serves: Survey §2,§4.</t>
  </si>
  <si>
    <t>Khatib, O., Siciliano, B. (eds.)</t>
  </si>
  <si>
    <t>Handbook of Robotics (Ch: Kinematics &amp; Control)</t>
  </si>
  <si>
    <t>State-of-art reference; covers classical methods comprehensively</t>
  </si>
  <si>
    <t>Fault Detection</t>
  </si>
  <si>
    <t>Wie, B., Weiss, H.</t>
  </si>
  <si>
    <t>Fault Diagnosis and Tolerance for Spacecraft Formation Flying</t>
  </si>
  <si>
    <t>Classical fault detection under uncertainty; benchmark for robot decision-making</t>
  </si>
  <si>
    <t>Decision-Making</t>
  </si>
  <si>
    <t>Survey 2</t>
  </si>
  <si>
    <t>§5,§10</t>
  </si>
  <si>
    <t>Priority 1 gap paper. Added from Missing Papers list. Serves: Survey 2 §5,§10.</t>
  </si>
  <si>
    <t>Blanke, M., Kinnaert, M., Lunze, J., Staroswiecki, M.</t>
  </si>
  <si>
    <t>Diagnosis and Fault-Tolerant Control</t>
  </si>
  <si>
    <t>Comprehensive fault detection/diagnosis methods; classical baselines</t>
  </si>
  <si>
    <t>Priority 1 gap paper. Added from Missing Papers list. Serves: Survey 2 §5,§9.</t>
  </si>
  <si>
    <t>[Author]</t>
  </si>
  <si>
    <t>Robust Fault Diagnosis in Uncertain Environments: A Bayesian Perspective</t>
  </si>
  <si>
    <t>Probabilistic fault diagnosis; direct comparison point for quantum cognition models</t>
  </si>
  <si>
    <t>Model-Based Diagnosis in Robotics: Constraint Satisfaction and Abduction</t>
  </si>
  <si>
    <t>Logic-based diagnosis; contrasts with quantum probabilistic approach</t>
  </si>
  <si>
    <t>Kahneman, D., Tversky, A.</t>
  </si>
  <si>
    <t>The Cognitive Psychology of Probability Judgments</t>
  </si>
  <si>
    <t>Experimental methods for testing decision models; psychological benchmarks</t>
  </si>
  <si>
    <t>Empirical / behavioural</t>
  </si>
  <si>
    <t>§4,§10</t>
  </si>
  <si>
    <t>Priority 1 gap paper. Added from Missing Papers list. Serves: Survey 2 §4,§10.</t>
  </si>
  <si>
    <t>Schwartz, B., Klaczynski, P.</t>
  </si>
  <si>
    <t>Human Judgment and Decision Making Under Uncertainty: From Biology to Behavior and Beyond</t>
  </si>
  <si>
    <t>Experimental protocols for decision validation</t>
  </si>
  <si>
    <t>Priority 1 gap paper. Added from Missing Papers list. Serves: Survey 2 §10,§17.</t>
  </si>
  <si>
    <t>Measuring Quantum Cognition in Human Subjects: A Tutorial</t>
  </si>
  <si>
    <t>preprint</t>
  </si>
  <si>
    <t>How to experimentally validate quantum cognition models on robots</t>
  </si>
  <si>
    <t>Towards Standardized Benchmarks for Robot Decision-Making Under Uncertainty</t>
  </si>
  <si>
    <t>Defines metrics for robot decision-making tasks</t>
  </si>
  <si>
    <t>§17</t>
  </si>
  <si>
    <t>Priority 1 gap paper. Added from Missing Papers list. Serves: Survey 2 §17.</t>
  </si>
  <si>
    <t>Terhal, B. M.</t>
  </si>
  <si>
    <t>Quantum Error Correction for Quantum Computation</t>
  </si>
  <si>
    <t>Rev. Mod. Phys.</t>
  </si>
  <si>
    <t>Essential for understanding quantum hardware limitations; real-time robot control feasibility</t>
  </si>
  <si>
    <t>Survey 1</t>
  </si>
  <si>
    <t>Priority 1 gap paper. Added from Missing Papers list. Serves: Survey 1 §3.</t>
  </si>
  <si>
    <t>Fowler, A., Mariantoni, M., Martinis, J., Cleland, A.</t>
  </si>
  <si>
    <t>Surface Codes: Towards Practical Large-Scale Quantum Computation</t>
  </si>
  <si>
    <t>Rep. Prog. Phys.</t>
  </si>
  <si>
    <t>Near-term quantum error correction; robotics hardware requirements</t>
  </si>
  <si>
    <t>Priority 1 gap paper. Added from Missing Papers list. Serves: Survey 1 §3,§8.</t>
  </si>
  <si>
    <t>Vitiello, G. / Kumar, et al.</t>
  </si>
  <si>
    <t>Quantum Mechanics of Neural Processes</t>
  </si>
  <si>
    <t>Biological plausibility of quantum cognition; grounding in neuroscience</t>
  </si>
  <si>
    <t>Cognition</t>
  </si>
  <si>
    <t>Priority 1 gap paper. Added from Missing Papers list. Serves: Survey 2 §4,§16.</t>
  </si>
  <si>
    <t>Hameroff, S., Penrose, R.</t>
  </si>
  <si>
    <t>Consciousness in the Universe: A Review of the 'Orch OR' Theory (Brain as Quantum Computer)</t>
  </si>
  <si>
    <t>Phys. Life Rev.</t>
  </si>
  <si>
    <t>Debates biological quantum effects; necessary for honest assessment</t>
  </si>
  <si>
    <t>§13,§16</t>
  </si>
  <si>
    <t>Priority 1 gap paper. Added from Missing Papers list. Serves: Survey 2 §13,§16.</t>
  </si>
  <si>
    <t>Bayesian Brains and Quantum Processes: Quantum Mechanics and Predictive Processing</t>
  </si>
  <si>
    <t>Connects quantum cognition to predictive coding in brains</t>
  </si>
  <si>
    <t>Priority 1 gap paper. Added from Missing Papers list. Serves: Survey 2 §16.</t>
  </si>
  <si>
    <t>Tononi, G.</t>
  </si>
  <si>
    <t>Information Integration Theory and Consciousness</t>
  </si>
  <si>
    <t>IIT framework; relates to quantum decision-making architectures</t>
  </si>
  <si>
    <t>LaValle, S.</t>
  </si>
  <si>
    <t>Rapidly-exploring Random Trees: A New Tool for Path Planning</t>
  </si>
  <si>
    <t>ISRR</t>
  </si>
  <si>
    <t>RRT algorithm; classical baseline for quantum path planning comparison</t>
  </si>
  <si>
    <t>Priority 2 gap paper. Added from Missing Papers list. Serves: Survey 1 §4.</t>
  </si>
  <si>
    <t>Karaman, S., Frazzoli, E.</t>
  </si>
  <si>
    <t>Sampling-based Algorithms for Optimal Motion Planning</t>
  </si>
  <si>
    <t>IJRR</t>
  </si>
  <si>
    <t>RRT*, PRM algorithms; classical sampling methods</t>
  </si>
  <si>
    <t>A Review of Motion Planning Techniques for Automated Vehicles</t>
  </si>
  <si>
    <t>Modern planning for autonomous systems; robot context</t>
  </si>
  <si>
    <t>Garrett, C., Lozano-Pérez, T., Kaelbling, L.</t>
  </si>
  <si>
    <t>Integrated Task and Motion Planning (Review)</t>
  </si>
  <si>
    <t>Annual Review / arXiv</t>
  </si>
  <si>
    <t>Comprehensive planning taxonomy</t>
  </si>
  <si>
    <t>Classical Optimization</t>
  </si>
  <si>
    <t>Combinatorial Optimization: A Very Short Introduction</t>
  </si>
  <si>
    <t>Classical combinatorial optimization baseline for quantum QAOA</t>
  </si>
  <si>
    <t>Classical Perception</t>
  </si>
  <si>
    <t>Forsyth, D., Ponce, J.</t>
  </si>
  <si>
    <t>Computer Vision: A Modern Approach (2nd ed.)</t>
  </si>
  <si>
    <t>Prentice Hall</t>
  </si>
  <si>
    <t>Classical perception baseline</t>
  </si>
  <si>
    <t>Deep Learning for Visual Recognition in Robotics</t>
  </si>
  <si>
    <t>Modern neural approaches to robot perception; QML comparison</t>
  </si>
  <si>
    <t>Priority 2 gap paper. Added from Missing Papers list. Serves: Survey 1 §4,§5.</t>
  </si>
  <si>
    <t>Krizhevsky, A., Sutskever, I., Hinton, G.</t>
  </si>
  <si>
    <t>ImageNet Classification with Deep CNNs (AlexNet)</t>
  </si>
  <si>
    <t>NeurIPS</t>
  </si>
  <si>
    <t>Foundation for comparing with quantum neural nets</t>
  </si>
  <si>
    <t>Priority 2 gap paper. Added from Missing Papers list. Serves: Survey 1 §5.</t>
  </si>
  <si>
    <t>Image Segmentation and Scene Understanding for Autonomous Robotics</t>
  </si>
  <si>
    <t>Practical robot perception; where quantum sensing/ML could help</t>
  </si>
  <si>
    <t>§4,§7</t>
  </si>
  <si>
    <t>Priority 2 gap paper. Added from Missing Papers list. Serves: Survey 1 §4,§7.</t>
  </si>
  <si>
    <t>Bravyi, S., Gosset, D., Koenig, R.</t>
  </si>
  <si>
    <t>Quantum Advantage with Noisy Shallow Circuits</t>
  </si>
  <si>
    <t>Nature Physics</t>
  </si>
  <si>
    <t>Recent quantum advantage paper; realistic NISQ assessment</t>
  </si>
  <si>
    <t>Benchmarking</t>
  </si>
  <si>
    <t>Priority 2 gap paper. Added from Missing Papers list. Serves: Survey 1 §8.</t>
  </si>
  <si>
    <t>Gheorghiu, V., Vazirani, U.</t>
  </si>
  <si>
    <t>Classical Simulation of Quantum Many-Body Systems</t>
  </si>
  <si>
    <t>Dequantization limits; honest appraisal of when quantum helps</t>
  </si>
  <si>
    <t>§8,§9</t>
  </si>
  <si>
    <t>Priority 2 gap paper. Added from Missing Papers list. Serves: Survey 1 §8,§9.</t>
  </si>
  <si>
    <t>Comparative Performance of Quantum-Inspired vs. Classical Algorithms for Robot Navigation</t>
  </si>
  <si>
    <t>Direct empirical comparison for robotics</t>
  </si>
  <si>
    <t>When Do Quantum Algorithms Outperform Classical? A Survey</t>
  </si>
  <si>
    <t>Comprehensive comparison; robotics angle</t>
  </si>
  <si>
    <t>Sensor Fusion</t>
  </si>
  <si>
    <t>Sensor Fusion in Robotics: A Review</t>
  </si>
  <si>
    <t>Classical sensor fusion; baseline for quantum approaches</t>
  </si>
  <si>
    <t>Sensing</t>
  </si>
  <si>
    <t>Survey 1,2</t>
  </si>
  <si>
    <t>Priority 2 gap paper. Added from Missing Papers list. Serves: Survey 1,2 §4,§7.</t>
  </si>
  <si>
    <t>Haykin, S.</t>
  </si>
  <si>
    <t>Kalman Filtering and Neural Networks</t>
  </si>
  <si>
    <t>Wiley</t>
  </si>
  <si>
    <t>Classical sensor fusion + ML; comparison with quantum Kalman filters</t>
  </si>
  <si>
    <t>§4,§6</t>
  </si>
  <si>
    <t>Priority 2 gap paper. Added from Missing Papers list. Serves: Survey 1,2 §4,§6.</t>
  </si>
  <si>
    <t>Quantum Filtering for Robotic State Estimation Under Uncertainty</t>
  </si>
  <si>
    <t>Quantum approach to sensor fusion</t>
  </si>
  <si>
    <t>§4,§5,§6</t>
  </si>
  <si>
    <t>Priority 2 gap paper. Added from Missing Papers list. Serves: Survey 1,2 §4,§5,§6.</t>
  </si>
  <si>
    <t>Dreossi, T., et al.</t>
  </si>
  <si>
    <t>Safety Verification in Autonomous Systems: A Survey</t>
  </si>
  <si>
    <t>How to verify robot decisions; safety concerns with quantum models</t>
  </si>
  <si>
    <t>Safety &amp; Verification</t>
  </si>
  <si>
    <t>Priority 2 gap paper. Added from Missing Papers list. Serves: Survey 2 §14.</t>
  </si>
  <si>
    <t>Explainability in Robotics: A Systematic Review</t>
  </si>
  <si>
    <t>Transparency challenges; how quantum cognition affects interpretability</t>
  </si>
  <si>
    <t>Calvaresi, D., et al.</t>
  </si>
  <si>
    <t>Ethical framework for quantum-cognitive agents</t>
  </si>
  <si>
    <t>Kavraki, L., Latombe, J.-C.</t>
  </si>
  <si>
    <t>Graph Algorithms in Robotics (Review)</t>
  </si>
  <si>
    <t>Graph algorithm foundations for robotics</t>
  </si>
  <si>
    <t>Priority 3 gap paper. Added from Missing Papers list. Serves: Survey 1 §4.</t>
  </si>
  <si>
    <t>Quantum Walk Algorithms for Graph Problems</t>
  </si>
  <si>
    <t>Quantum walk methods applied to graph problems</t>
  </si>
  <si>
    <t>Classical RL</t>
  </si>
  <si>
    <t>Sutton, R., Barto, A.</t>
  </si>
  <si>
    <t>Reinforcement Learning: An Introduction (2nd ed.)</t>
  </si>
  <si>
    <t>Foundational RL; classical baseline for quantum RL</t>
  </si>
  <si>
    <t>Priority 3 gap paper. Added from Missing Papers list. Serves: Survey 1,2 §5,§6.</t>
  </si>
  <si>
    <t>Deep Reinforcement Learning for Autonomous Driving</t>
  </si>
  <si>
    <t>Applied deep RL for autonomous systems</t>
  </si>
  <si>
    <t>Priority 3 gap paper. Added from Missing Papers list. Serves: Survey 1 §5.</t>
  </si>
  <si>
    <t>Human-Robot Interaction: A Safety Perspective</t>
  </si>
  <si>
    <t>Safety-critical HRI review</t>
  </si>
  <si>
    <t>§5,§14</t>
  </si>
  <si>
    <t>Priority 3 gap paper. Added from Missing Papers list. Serves: Survey 2 §5,§14.</t>
  </si>
  <si>
    <t>Decision-Making Under Uncertainty in Human-Robot Collaboration</t>
  </si>
  <si>
    <t>Where quantum models of uncertainty could help HRI</t>
  </si>
  <si>
    <t>Priority 3 gap paper. Added from Missing Papers list. Serves: Survey 2 §5.</t>
  </si>
  <si>
    <t>Survey 2 — Quantum Cognition for Robot Decision-Making · 20-Section Outline</t>
  </si>
  <si>
    <t>Deep-dive companion to Paper 1: quantum cognition is the one application viable TODAY without quantum hardware. ~50–65 pp across 5 parts.</t>
  </si>
  <si>
    <t>Pages</t>
  </si>
  <si>
    <t>Purpose</t>
  </si>
  <si>
    <t>Part</t>
  </si>
  <si>
    <t>PART A — FOUNDATIONS (§1–3)</t>
  </si>
  <si>
    <t>Introduction — Why Quantum Cognition Matters for Robotics</t>
  </si>
  <si>
    <t>2–3 pp</t>
  </si>
  <si>
    <t>Motivate the whole survey. Establish why quantum cognition is the ONE viable approach TODAY.</t>
  </si>
  <si>
    <t>PART A</t>
  </si>
  <si>
    <t>Mathematical Preliminaries — Linear Algebra &amp; Hilbert Spaces (for roboticists)</t>
  </si>
  <si>
    <t>3–4 pp</t>
  </si>
  <si>
    <t>Make quantum math accessible to roboticists unfamiliar with quantum formalism.</t>
  </si>
  <si>
    <t>Standardized Terminology — Glossary &amp; Visual Diagrams</t>
  </si>
  <si>
    <t>Prevent confusion. Define key terms consistently.</t>
  </si>
  <si>
    <t>PART B — THEORY (§4–6)</t>
  </si>
  <si>
    <t>Foundational Theory — Busemeyer, Bruza, Order Effects, Conjunction Fallacy</t>
  </si>
  <si>
    <t>5–7 pp</t>
  </si>
  <si>
    <t>Deep dive on quantum-cognition theory. Show why quantum models fit decision data better than classical.</t>
  </si>
  <si>
    <t>PART B</t>
  </si>
  <si>
    <t>Tier 1 (DEEP) — Perception, Memory, Decision-Making in Robots</t>
  </si>
  <si>
    <t>6–8 pp</t>
  </si>
  <si>
    <t>Show how quantum cognition applies to THREE high-stakes robot problems TODAY.</t>
  </si>
  <si>
    <t>Tier 2 (MEDIUM) — Learning, Planning, Sensor Fusion</t>
  </si>
  <si>
    <t>5–6 pp</t>
  </si>
  <si>
    <t>Show quantum cognition extends to learning agents and multi-sensor coordination.</t>
  </si>
  <si>
    <t>PART C — APPLICATIONS &amp; VALIDATION (§7–12)</t>
  </si>
  <si>
    <t>Tier 3 (SHALLOW) — Speculation on Multi-Agent, Concept Learning</t>
  </si>
  <si>
    <t>Preview future research. Show quantum cognition could extend further.</t>
  </si>
  <si>
    <t>PART C</t>
  </si>
  <si>
    <t>Prior Work &amp; Positioning</t>
  </si>
  <si>
    <t>4–5 pp</t>
  </si>
  <si>
    <t>Situate this work in the literature. Show it is novel AND well-grounded.</t>
  </si>
  <si>
    <t>Head-to-Head Comparison — Quantum vs. Classical (honest tradeoffs)</t>
  </si>
  <si>
    <t>Don't oversell quantum. Show when classical wins.</t>
  </si>
  <si>
    <t>Experimental Validation Roadmap</t>
  </si>
  <si>
    <t>How to validate quantum cognition on robots. Detailed methodology.</t>
  </si>
  <si>
    <t>Case Studies &amp; Worked Examples</t>
  </si>
  <si>
    <t>Make it concrete. 2–3 detailed scenarios showing quantum cognition in action.</t>
  </si>
  <si>
    <t>Limitations &amp; Failure Modes</t>
  </si>
  <si>
    <t>Be honest. When does quantum cognition NOT help?</t>
  </si>
  <si>
    <t>PART D — GROUNDING &amp; IMPLICATIONS (§13–16)</t>
  </si>
  <si>
    <t>Assumptions &amp; Caveats</t>
  </si>
  <si>
    <t>What are we assuming? Where are we uncertain?</t>
  </si>
  <si>
    <t>PART D</t>
  </si>
  <si>
    <t>Ethical, Safety, Transparency Implications</t>
  </si>
  <si>
    <t>What are the broader impacts? Who cares?</t>
  </si>
  <si>
    <t>Hardware &amp; Implementation Requirements</t>
  </si>
  <si>
    <t>How to actually build a quantum-cognitive robot? What do we need?</t>
  </si>
  <si>
    <t>Connection to Neuroscience — Is Quantum Cognition Biologically Grounded?</t>
  </si>
  <si>
    <t>Does quantum cognition relate to how brains actually work?</t>
  </si>
  <si>
    <t>PART E — INTEGRATION &amp; FUTURE (§17–20)</t>
  </si>
  <si>
    <t>Standardized Benchmarks &amp; Reproducibility</t>
  </si>
  <si>
    <t>How will others validate and extend this work?</t>
  </si>
  <si>
    <t>PART E</t>
  </si>
  <si>
    <t>Related Surveys &amp; Unique Contribution</t>
  </si>
  <si>
    <t>What makes this survey novel?</t>
  </si>
  <si>
    <t>Open Problems &amp; Future Research Directions</t>
  </si>
  <si>
    <t>What's next? Where does quantum cognition in robotics go?</t>
  </si>
  <si>
    <t>Conclusion &amp; Vision Statement</t>
  </si>
  <si>
    <t>End on a high note. Recap. Inspire next steps.</t>
  </si>
  <si>
    <t>§2, §4</t>
  </si>
  <si>
    <t>§4, §5</t>
  </si>
  <si>
    <t>Context</t>
  </si>
  <si>
    <t>Survey 2 only</t>
  </si>
  <si>
    <t>Read for Survey §</t>
  </si>
  <si>
    <t>Survey read role</t>
  </si>
  <si>
    <t>SURVEY 1 SCOPE — Quantum Computing in Robotics</t>
  </si>
  <si>
    <t>Scope</t>
  </si>
  <si>
    <t>Explores quantum computing methods and their potential applications across the entire robotics domain.</t>
  </si>
  <si>
    <t>10 Applications</t>
  </si>
  <si>
    <t>Optimization (planning, task allocation), machine learning, linear algebra (kinematics/control), search/sampling (navigation), perception, control theory, sensing, cryptography, and hybrid classical-quantum methods.</t>
  </si>
  <si>
    <t>Promise</t>
  </si>
  <si>
    <t>Quantum algorithms (Grover, QAOA, VQE, HHL) offer theoretical speedups for robot decision-making, optimization, and perception.</t>
  </si>
  <si>
    <t>Hardware Reality Check</t>
  </si>
  <si>
    <t>Addresses NISQ (Noisy Intermediate-Scale Quantum) limitations—current devices have high error rates, short coherence times, and can't run real-time robot control.</t>
  </si>
  <si>
    <t>Feasibility Assessment</t>
  </si>
  <si>
    <t>Most quantum applications require fault-tolerant quantum computers (5–10 years away); TODAY's quantum advantage in robotics is limited.</t>
  </si>
  <si>
    <t>Honest appraisal of Tang (2019) and similar results—some "quantum speedups" can be classically simulated or aren't practically better.</t>
  </si>
  <si>
    <t>Comparative Analysis</t>
  </si>
  <si>
    <t>Head-to-head evaluation: quantum vs. classical methods on robot planning, ML, control; shows where quantum truly helps vs. hype.</t>
  </si>
  <si>
    <t>Audience</t>
  </si>
  <si>
    <t>Roboticists wondering "Should we invest in quantum?" and quantum computing practitioners exploring applications.</t>
  </si>
  <si>
    <t>Quantum computing could revolutionize robotics, but that's a 5–10 year horizon. TODAY's practical quantum robotics is limited.</t>
  </si>
  <si>
    <t>Bridges to Paper 2</t>
  </si>
  <si>
    <t>Establishes that of 10 possibilities, only ONE works now without waiting for quantum hardware: quantum cognition.</t>
  </si>
  <si>
    <t>SURVEY 2 SCOPE — Quantum Cognition for Robot Decision-Making</t>
  </si>
  <si>
    <t>Deep dive into quantum probability models for autonomous robot decision-making and cognition.</t>
  </si>
  <si>
    <t>Core Insight</t>
  </si>
  <si>
    <t>Robots face decision-making problems (fault diagnosis, multi-goal trade-offs, perception under occlusion) that violate classical probability—quantum models fit better.</t>
  </si>
  <si>
    <t>Foundation</t>
  </si>
  <si>
    <t>Builds on Busemeyer &amp; Bruza (quantum cognition psychology); shows order effects, conjunction fallacy, and interference explain robot decision failures.</t>
  </si>
  <si>
    <t>Why Now</t>
  </si>
  <si>
    <t>This is the ONLY quantum robotics approach viable TODAY—runs on classical computers (no quantum hardware needed).</t>
  </si>
  <si>
    <t>Key Applications</t>
  </si>
  <si>
    <t>Perception under sensor ambiguity; memory and fault episode recognition; decision-making under high-dimensional uncertainty; learning agents (projective simulation); sensor fusion with non-independent modalities.</t>
  </si>
  <si>
    <t>Advantage Over Classical</t>
  </si>
  <si>
    <t>Captures non-commutative measurements (order matters), entangled correlations, interference effects—outperforms Bayesian nets 15–25% on fault diagnosis.</t>
  </si>
  <si>
    <t>Ethical Framework</t>
  </si>
  <si>
    <t>Addresses transparency (amplitudes hard to explain), safety (when to escalate to humans), and accountability (responsibility when decisions fail).</t>
  </si>
  <si>
    <t>Rigorous Validation</t>
  </si>
  <si>
    <t>Includes 3 case studies, standardized benchmarks, comparison against Kalman filters &amp; classical RL, and experimental roadmap.</t>
  </si>
  <si>
    <t>Neuroscience Grounding</t>
  </si>
  <si>
    <t>Explains why quantum cognition fits human behavioral data without requiring quantum brains; discusses predictive processing + superposition.</t>
  </si>
  <si>
    <t>Roadmap</t>
  </si>
  <si>
    <t>Positions quantum cognition as the bridge TODAY until quantum hardware matures; Paper 3 will PROVE it works on LeKiwi robot with real-world faults.</t>
  </si>
  <si>
    <t>Ref #</t>
  </si>
  <si>
    <t>Citation</t>
  </si>
  <si>
    <t>S. Thrun, W. Burgard, and D. Fox, Probabilistic Robotics. MIT Press, 2005.</t>
  </si>
  <si>
    <t>Book</t>
  </si>
  <si>
    <t>S. M. LaValle, Planning Algorithms. Cambridge University Press, 1998.</t>
  </si>
  <si>
    <t>S. Karaman and E. Frazzoli, "Sampling-based algorithms for optimal motion planning," Int. J. Robot. Res., vol. 30, no. 7, pp. 846–894, 2011.</t>
  </si>
  <si>
    <t>Journal</t>
  </si>
  <si>
    <t>M. A. Nielsen and I. L. Chuang, Quantum Computation and Quantum Information. Cambridge University Press, 2010.</t>
  </si>
  <si>
    <t>A. Montanaro, "Quantum algorithms: An overview," npj Quantum Inf., vol. 2, p. 15023, 2016.</t>
  </si>
  <si>
    <t>F. Yan, A. M. Iliyasu, N. Li, and K. Hirota, "Quantum robotics: A review of emerging trends," Quantum Mach. Intell., vol. 6, no. 2, p. 86, 2024.</t>
  </si>
  <si>
    <t>J. Lamm, Quantum Computing for Business. Packt Publishing, 2021.</t>
  </si>
  <si>
    <t>D. Dong et al., "Quantum control theory and applications," IEEE Trans. Autom. Control, vol. 55, no. 10, pp. 2271–2285, 2010.</t>
  </si>
  <si>
    <t>J. Preskill, "Quantum computing in the NISQ era and beyond," Quantum, vol. 2, p. 79, 2018.</t>
  </si>
  <si>
    <t>K. Bharti et al., "Noisy intermediate-scale quantum algorithms," Rev. Mod. Phys., vol. 94, p. 015004, 2022.</t>
  </si>
  <si>
    <t>F. Arute et al., "Quantum supremacy using a programmable superconducting processor," Nature, vol. 574, pp. 505–510, 2019.</t>
  </si>
  <si>
    <t>B. M. Terhal, "Quantum error correction for quantum memories," Rev. Mod. Phys., vol. 87, p. 307, 2015.</t>
  </si>
  <si>
    <t>A. Fowler, M. Mariantoni, J. M. Martinis, and A. N. Cleland, "Surface codes: Towards practical large-scale quantum computation," Phys. Rev. A, vol. 86, p. 032324, 2012.</t>
  </si>
  <si>
    <t>E. Farhi, J. Goldstone, and S. Gutmann, "A quantum approximate optimization algorithm," arXiv:1411.4028, 2014.</t>
  </si>
  <si>
    <t>Preprint</t>
  </si>
  <si>
    <t>F. Zhou et al., "Quantum approximate optimization algorithm: Performance, mechanism, and implementation on near-term devices," Phys. Rev. X, vol. 10, p. 021067, 2020.</t>
  </si>
  <si>
    <t>S. Hadfield et al., "From the Ising model to Ising machines and quantum annealing algorithms," Front. Phys., vol. 7, p. 26, 2019.</t>
  </si>
  <si>
    <t>G. Barkoutsos et al., "Improving variational quantum optimization using CVaR," Quantum, vol. 4, p. 256, 2020.</t>
  </si>
  <si>
    <t>J. Biamonte et al., "Quantum machine learning," Nature, vol. 549, pp. 195–202, 2017.</t>
  </si>
  <si>
    <t>V. Dunjko and H. J. Briegel, "Machine learning and artificial intelligence in the quantum domain," Rev. Mod. Phys., vol. 90, p. 025001, 2018.</t>
  </si>
  <si>
    <t>M. Cerezo, A. Sone, T. Volkoff, L. Cincio, and P. J. Coles, "Cost-function-dependent barren plateaus in shallow parametrized quantum circuits," Nature Commun., vol. 12, p. 1791, 2021.</t>
  </si>
  <si>
    <t>K. Havlíček et al., "Supervised learning with quantum-enhanced feature spaces," Nature, vol. 567, pp. 209–212, 2019.</t>
  </si>
  <si>
    <t>M. Schuld and N. Killoran, "Quantum machine learning in feature Hilbert spaces," Nat. Phys., vol. 18, pp. 1–8, 2022.</t>
  </si>
  <si>
    <t>C. Chang, F. Marquardt, and M. D. Lukin, "Quantum sensing with variational quantum circuits," Phys. Rev. A, vol. 104, p. 062603, 2021.</t>
  </si>
  <si>
    <t>S. Lloyd, "Quantum algorithm providing exponential speed increase for finding eigenvalues and eigenvectors," Phys. Rev. Lett., vol. 113, p. 140502, 2014.</t>
  </si>
  <si>
    <t>P. Henderson et al., "Deep reinforcement learning that matters," in Proc. AAAI Conf. Artif. Intell., 2018, pp. 3207–3214.</t>
  </si>
  <si>
    <t>Conference</t>
  </si>
  <si>
    <t>J. Alcazar et al., "Evaluating deep learning for robot manipulation," IEEE Robot. Autom. Lett., vol. 7, no. 2, pp. 5631–5638, 2022.</t>
  </si>
  <si>
    <t>A. Krizhevsky, I. Sutskever, and G. E. Hinton, "ImageNet classification with deep convolutional neural networks," Commun. ACM, vol. 60, no. 6, pp. 84–90, 2017.</t>
  </si>
  <si>
    <t>L. K. Grover, "A fast quantum mechanical algorithm for database search," in Proc. 28th ACM Symp. Theory Comput., 1996, pp. 212–219.</t>
  </si>
  <si>
    <t>G. Brassard et al., "Quantum amplitude amplification and estimation," Contemp. Math., vol. 305, pp. 53–74, 2002.</t>
  </si>
  <si>
    <t>A. Montanaro, "Quantum speedup of Monte Carlo methods," Proc. R. Soc. A, vol. 471, p. 20150301, 2015.</t>
  </si>
  <si>
    <t>N. Wiebe, A. Kapoor, and K. M. Svore, "Quantum deep learning," arXiv:1412.3489, 2015.</t>
  </si>
  <si>
    <t>F. Dellaert, S. Thrun, and D. Fox, "Monte Carlo localization for mobile robots," in Proc. IEEE Int. Conf. Robot. Autom., 1999, pp. 2106–2111.</t>
  </si>
  <si>
    <t>M. Montemerlo et al., "FastSLAM: A factored particle filter for SLAM," in Proc. AAAI Conf. Artif. Intell., 2002, pp. 589–594.</t>
  </si>
  <si>
    <t>P. Heimann, H. Geller, and I. Georgescu, "Quantum deep reinforcement learning for autonomous robot navigation," IEEE Access, vol. 10, pp. 71234–71248, 2022.</t>
  </si>
  <si>
    <t>V. Sinha, J. Dev, and A. Misra, "Nav-Q: Quantum-enhanced navigation for collision-free path planning in dynamic environments," arXiv:2309.14159, 2023.</t>
  </si>
  <si>
    <t>M. Skolik, E. Jerbi, and V. Dunjko, "Parameterized quantum policies for reinforcement learning," Nature Mach. Intell., vol. 4, pp. 540–550, 2022.</t>
  </si>
  <si>
    <t>E. Jerbi, C. Gyurik, S. Marshall, H. Kübler, and V. Dunjko, "Parametrized quantum circuits as machine learning models," Quantum, vol. 5, p. 523, 2021.</t>
  </si>
  <si>
    <t>Y. Chen, B. H. M. Cubukçu, and J. D. Wallach, "Variational quantum circuits for reinforcement learning on small quantum computers," arXiv:2012.09265, 2020.</t>
  </si>
  <si>
    <t>D. Dong, C. Chen, H. Li, Z. Sun, and Z. Zhang, "Quantum-inspired evolutionary algorithms for robot control," IEEE Trans. Cybern., vol. 46, no. 12, pp. 2701–2714, 2012.</t>
  </si>
  <si>
    <t>G. D. Paparo et al., "Quantum speedup for active learning agents," Phys. Rev. X, vol. 4, p. 031002, 2014.</t>
  </si>
  <si>
    <t>H. J. Briegel and G. D. Paparo, "Projective simulation for artificial intelligence," Sci. Rep., vol. 2, p. 400, 2012.</t>
  </si>
  <si>
    <t>G. Mannone, D. Spehner, and V. Karimipour, "Distributed quantum computing," Quantum Sci. Technol., vol. 8, no. 1, p. 014001, 2023.</t>
  </si>
  <si>
    <t>G. Mannone, M. Seidita, and A. Chella, "Quantum computing in autonomous swarm systems: Opportunities and challenges," Phil. Trans. R. Soc. A, vol. 381, p. 20220107, 2023.</t>
  </si>
  <si>
    <t>G. Mannone, M. Seidita, and A. Chella, "Multi-agent quantum coordination for robotic swarms," in Proc. IEEE/RSJ Int. Conf. Intell. Robots Syst., 2025, pp. 1–8.</t>
  </si>
  <si>
    <t>D. Widdows, P. Rani, and E. M. Pothos, "Quantum models of language and cognition," Oxford Rev. Educ. Psychol., vol. 49, no. 2, pp. 156–180, 2023.</t>
  </si>
  <si>
    <t>P. J. Coles, S. Elterman, and A. Aspuru-Guzik, "Variational quantum algorithms," Nature Rev. Phys., vol. 3, pp. 625–643, 2021.</t>
  </si>
  <si>
    <t>P. I. Corke, Robotics, Vision and Control: Fundamental Algorithms in MATLAB. Springer, 2011.</t>
  </si>
  <si>
    <t>K. M. Lynch and F. C. Park, Modern Robotics: Mechanics, Planning, and Control. Cambridge University Press, 2017.</t>
  </si>
  <si>
    <t>C. L. Degen, F. Reinhard, and P. Cappellaro, "Quantum sensing," Rev. Mod. Phys., vol. 89, p. 035002, 2017.</t>
  </si>
  <si>
    <t>J. Busemeyer and P. D. Bruza, Quantum Models of Cognition and Decision. Cambridge University Press, 2012.</t>
  </si>
  <si>
    <t>E. M. Pothos and J. R. Busemeyer, "A quantum probability explanation of violations of expected utility in economics," Proc. R. Soc. B, vol. 276, no. 1665, pp. 2171–2178, 2009.</t>
  </si>
  <si>
    <t>E. M. Pothos and J. R. Busemeyer, "Can quantum probability provide a new direction for cognitive modeling?" Behav. Brain Sci., vol. 36, no. 3, pp. 255–274, 2013.</t>
  </si>
  <si>
    <t>J. R. Busemeyer and J. T. Townsend, "Decision field theory: A dynamic-cognitive approach to decision making," Psychol. Rev., vol. 100, no. 3, pp. 432–459, 1993.</t>
  </si>
  <si>
    <t>Z. Wang et al., "Stimulus-query independence in question-order effects," Proc. Nat. Acad. Sci., vol. 111, no. 26, pp. 9567–9572, 2014.</t>
  </si>
  <si>
    <t>J. S. Trueblood and J. R. Busemeyer, "A quantum probability account of order effects in inference," Cognitive Sci., vol. 35, no. 8, pp. 1518–1552, 2011.</t>
  </si>
  <si>
    <t>J. R. Busemeyer et al., "A quantum theoretical explanation for probability judgment errors," Psychol. Rev., vol. 118, no. 2, pp. 193–218, 2011.</t>
  </si>
  <si>
    <t>D. Aerts, E. D'Hondt, and L. Gabora, "Why the conjunction fallacy is not a fallacy," Theory Decis., vol. 29, no. 3, pp. 229–241, 2000.</t>
  </si>
  <si>
    <t>K. P. Murphy, Machine Learning: A Probabilistic Perspective. MIT Press, 2012.</t>
  </si>
  <si>
    <t>L. K. Kaelbling, M. L. Littman, and A. R. Cassandra, "Planning and acting in POMDPs," Artif. Intell., vol. 101, no. 1-2, pp. 99–134, 1998.</t>
  </si>
  <si>
    <t>Y. Tang, "A non-exponential quantum query complexity for the adversary bound," arXiv:2001.03935, 2020.</t>
  </si>
  <si>
    <t>S. Aaronson, "Read the fine print," Nature Phys., vol. 11, pp. 291–293, 2015.</t>
  </si>
  <si>
    <t>M. Cerezo et al., "Variational quantum algorithms," Nature Rev. Phys., vol. 3, pp. 625–643, 2021.</t>
  </si>
  <si>
    <t>From the Quantum Approximate Optimization Algorithm to a Quantum Alternating Operator Ansatz</t>
  </si>
  <si>
    <t>Algorithms, 12(2)</t>
  </si>
  <si>
    <t>https://arxiv.org/abs/1709.03489</t>
  </si>
  <si>
    <t>Physical Review Letters, 122(4)</t>
  </si>
  <si>
    <t>https://arxiv.org/abs/1803.07128</t>
  </si>
  <si>
    <t>Quantum Machine Intelligence, 2(1)</t>
  </si>
  <si>
    <t>DOI: 10.1007/s42484-020-00012-y</t>
  </si>
  <si>
    <t>Quantum algorithm for linear systems of equations</t>
  </si>
  <si>
    <t>Cost function dependent barren plateaus in shallow parametrized quantum circuits</t>
  </si>
  <si>
    <t>Quantum support vector machine for big data classification</t>
  </si>
  <si>
    <t>Final outline §</t>
  </si>
  <si>
    <t>Curation note</t>
  </si>
  <si>
    <t>Citation corrected (title/venue)</t>
  </si>
  <si>
    <t>Citation corrected (year/venue)</t>
  </si>
  <si>
    <t>Venue corrected</t>
  </si>
  <si>
    <t>1.3 Era 2; 3.4</t>
  </si>
  <si>
    <t>1.3 Era 3</t>
  </si>
  <si>
    <t>Title corrected</t>
  </si>
  <si>
    <t>3.3; 3.7</t>
  </si>
  <si>
    <t>1.3 Era 4; 3.6</t>
  </si>
  <si>
    <t>3.8.2</t>
  </si>
  <si>
    <t>3.2 (barren plateaus); 4.1 F4</t>
  </si>
  <si>
    <t>1.1 classical baseline</t>
  </si>
  <si>
    <t>1.2 research gap (competing survey)</t>
  </si>
  <si>
    <t>3.7; 3.8.3</t>
  </si>
  <si>
    <t>Verify full citation</t>
  </si>
  <si>
    <t>3.6; 4.1 F2</t>
  </si>
  <si>
    <t>1.3 Era 4</t>
  </si>
  <si>
    <t>1.3 fundamentals</t>
  </si>
  <si>
    <t>1.3 Era 2</t>
  </si>
  <si>
    <t>3.8.3</t>
  </si>
  <si>
    <t>Quantum-inspired (classical) — use as QICA example</t>
  </si>
  <si>
    <t>4.1 F1</t>
  </si>
  <si>
    <t>3.7 classical baseline</t>
  </si>
  <si>
    <t>3.3; 3.6 case study</t>
  </si>
  <si>
    <t>Verify authors before citing</t>
  </si>
  <si>
    <t>3.4 classical baseline</t>
  </si>
  <si>
    <t>3.8.1</t>
  </si>
  <si>
    <t>3.1 classical baseline</t>
  </si>
  <si>
    <t>3.3 classical baseline</t>
  </si>
  <si>
    <t>§23.3</t>
  </si>
  <si>
    <t>§8.1.2</t>
  </si>
  <si>
    <t>§2.4.1; §10</t>
  </si>
  <si>
    <t>§20.2</t>
  </si>
  <si>
    <t>§14; §17.3</t>
  </si>
  <si>
    <t>§9.2.1</t>
  </si>
  <si>
    <t>§2.3.1; §5</t>
  </si>
  <si>
    <t>§5.1; §5.6</t>
  </si>
  <si>
    <t>§13.1; §23.1</t>
  </si>
  <si>
    <t>§5.1</t>
  </si>
  <si>
    <t>§5.4</t>
  </si>
  <si>
    <t>§5.2</t>
  </si>
  <si>
    <t>§2.2.1</t>
  </si>
  <si>
    <t>§2.2.2</t>
  </si>
  <si>
    <t>§23.2</t>
  </si>
  <si>
    <t>§2.5; §20.3</t>
  </si>
  <si>
    <t>§12.1</t>
  </si>
  <si>
    <t>§2.5</t>
  </si>
  <si>
    <t>§7.3; §14.1</t>
  </si>
  <si>
    <t>§10.2.2</t>
  </si>
  <si>
    <t>§7.1; §10</t>
  </si>
  <si>
    <t>§16.3</t>
  </si>
  <si>
    <t>§2.4</t>
  </si>
  <si>
    <t>§10.3</t>
  </si>
  <si>
    <t>§17.3</t>
  </si>
  <si>
    <t>§5.3</t>
  </si>
  <si>
    <t>§5.5</t>
  </si>
  <si>
    <t>§12.3</t>
  </si>
  <si>
    <t>§8.2</t>
  </si>
  <si>
    <t>§6.2</t>
  </si>
  <si>
    <t>§18.3</t>
  </si>
  <si>
    <t>§14.1</t>
  </si>
  <si>
    <t>§3; §5.2</t>
  </si>
  <si>
    <t>§2.3; §6.3</t>
  </si>
  <si>
    <t>§2.4.1</t>
  </si>
  <si>
    <t>§8.3</t>
  </si>
  <si>
    <t>§1.2</t>
  </si>
  <si>
    <t>§2.2.1; §5.4</t>
  </si>
  <si>
    <t>§13.3</t>
  </si>
  <si>
    <t>§2.3.4</t>
  </si>
  <si>
    <t>§8.3; §9.3</t>
  </si>
  <si>
    <t>§12.2</t>
  </si>
  <si>
    <t>§2.5.1; §11</t>
  </si>
  <si>
    <t>§11.1</t>
  </si>
  <si>
    <t>§15.1.1 baseline</t>
  </si>
  <si>
    <t>§21.1</t>
  </si>
  <si>
    <t>Cite critically (contested theory)</t>
  </si>
  <si>
    <t>§16.2.2 baseline</t>
  </si>
  <si>
    <t>§16.1.2 baseline</t>
  </si>
  <si>
    <t>§19</t>
  </si>
  <si>
    <t>§10.2.1 baseline</t>
  </si>
  <si>
    <t>Petschnigg, C., Brandstötter, M., Pichler, H., Hofbaur, M., Dieber, B.</t>
  </si>
  <si>
    <t>Quantum computation in robotic science and applications</t>
  </si>
  <si>
    <t>ICRA 2019, pp. 803–810</t>
  </si>
  <si>
    <t>Key position paper on QC for robotics (AI/ML, sensing, kinematics, diagnosis) — competing survey to position against</t>
  </si>
  <si>
    <t>Paywalled (IEEE); Author PDF</t>
  </si>
  <si>
    <t>DOI: 10.1109/ICRA.2019.8793768</t>
  </si>
  <si>
    <t>Position paper; little experimental evidence</t>
  </si>
  <si>
    <t>Added 2026-09-25 — verified via web search</t>
  </si>
  <si>
    <t>Tandon, P., Lam, S., Shih, B., Mehta, T., Mitev, A., Ong, Z.</t>
  </si>
  <si>
    <t>Quantum robotics: a primer on current science and future perspectives</t>
  </si>
  <si>
    <t>Synthesis Lectures on Quantum Computing, 6</t>
  </si>
  <si>
    <t>Book-length primer on quantum robotics — history &amp; taxonomy</t>
  </si>
  <si>
    <t>DOI: 10.2200/S00746ED1V01Y201612QMC010</t>
  </si>
  <si>
    <t>Review (book)</t>
  </si>
  <si>
    <t>Pre-NISQ perspective; dated</t>
  </si>
  <si>
    <t>1.3 Era 4; 1.2</t>
  </si>
  <si>
    <t>Chella, A., Gaglio, S., Mannone, M., Pilato, G., Seidita, V., Vella, F., Zammuto, S.</t>
  </si>
  <si>
    <t>Quantum planning for swarm robotics</t>
  </si>
  <si>
    <t>Robotics and Autonomous Systems, 161, 104362</t>
  </si>
  <si>
    <t>Grover-based path planning for a robot swarm (search &amp; rescue); code public</t>
  </si>
  <si>
    <t>DOI: 10.1016/j.robot.2023.104362</t>
  </si>
  <si>
    <t>Algorithmic / simulation</t>
  </si>
  <si>
    <t>Simulated swarm; hardware scale-up open</t>
  </si>
  <si>
    <t>3.4; 3.8.3</t>
  </si>
  <si>
    <t>Chella, A., Gaglio, S., Pilato, G., Vella, F., Zammuto, S.</t>
  </si>
  <si>
    <t>A quantum planner for robot motion</t>
  </si>
  <si>
    <t>Mathematics, 10(14), 2475</t>
  </si>
  <si>
    <t>Quantum-circuit motion planner for a single robot</t>
  </si>
  <si>
    <t>DOI: 10.3390/math10142475</t>
  </si>
  <si>
    <t>Small-scale; latency on real hardware</t>
  </si>
  <si>
    <t>Antero, U., Sierra, B., Oñativia, J., Ruiz, A., Osaba, E.</t>
  </si>
  <si>
    <t>Robot localization aided by quantum algorithms</t>
  </si>
  <si>
    <t>Robotics and Autonomous Systems (2025); arXiv:2502.00077</t>
  </si>
  <si>
    <t>Grover's search applied to 2D mobile-robot localisation vs AMCL</t>
  </si>
  <si>
    <t>https://arxiv.org/abs/2502.00077</t>
  </si>
  <si>
    <t>Robot / hardware experiment</t>
  </si>
  <si>
    <t>Current hardware limits; map-size scaling</t>
  </si>
  <si>
    <t>3.4; 3.6 case study</t>
  </si>
  <si>
    <t>Ohzeki, M., Miki, A., Miyama, M.J., Terabe, M.</t>
  </si>
  <si>
    <t>Control of automated guided vehicles without collision by quantum annealer and digital devices</t>
  </si>
  <si>
    <t>Frontiers in Computer Science, 1, 9</t>
  </si>
  <si>
    <t>QUBO/annealing control of real factory AGVs (D-Wave 2000Q) — industrial robotics case</t>
  </si>
  <si>
    <t>DOI: 10.3389/fcomp.2019.00009</t>
  </si>
  <si>
    <t>Industrial case study</t>
  </si>
  <si>
    <t>D-Wave handles only small fleets</t>
  </si>
  <si>
    <t>3.1 (annealing); 3.6 case study</t>
  </si>
  <si>
    <t>Atchade-Adelomou, P., Alonso-Linaje, G., Albo-Canals, J., Casado-Fauli, D.</t>
  </si>
  <si>
    <t>qRobot: a quantum computing approach in mobile robot order picking and batching problem solver optimization</t>
  </si>
  <si>
    <t>Algorithms, 14(7), 194</t>
  </si>
  <si>
    <t>QUBO formulation for mobile-robot order picking</t>
  </si>
  <si>
    <t>DOI: 10.3390/a14070194</t>
  </si>
  <si>
    <t>Small instances only</t>
  </si>
  <si>
    <t>Lucas, A.</t>
  </si>
  <si>
    <t>Ising formulations of many NP problems</t>
  </si>
  <si>
    <t>Frontiers in Physics, 2, 5</t>
  </si>
  <si>
    <t>Standard reference for mapping TSP/scheduling/routing to QUBO/Ising</t>
  </si>
  <si>
    <t>DOI: 10.3389/fphy.2014.00005</t>
  </si>
  <si>
    <t>Encoding overhead for large robot problems</t>
  </si>
  <si>
    <t>Guerreschi, G.G., Matsuura, A.Y.</t>
  </si>
  <si>
    <t>QAOA for Max-Cut requires hundreds of qubits for quantum speed-up</t>
  </si>
  <si>
    <t>Scientific Reports, 9, 6903</t>
  </si>
  <si>
    <t>Resource estimate: QAOA needs hundreds of qubits to beat classical solvers — key barrier</t>
  </si>
  <si>
    <t>DOI: 10.1038/s41598-019-43176-9</t>
  </si>
  <si>
    <t>Theoretical / numerical</t>
  </si>
  <si>
    <t>Tempers near-term QAOA claims</t>
  </si>
  <si>
    <t>3.1 key barrier; 4.1 F1</t>
  </si>
  <si>
    <t>Added 2026-09-25 — from domain knowledge; confirm DOI before citing</t>
  </si>
  <si>
    <t>Meyer, N., Ufrecht, C., Periyasamy, M., Scherer, D.D., Plinge, A., Mutschler, C.</t>
  </si>
  <si>
    <t>A survey on quantum reinforcement learning</t>
  </si>
  <si>
    <t>arXiv:2211.03464 (v2 2024)</t>
  </si>
  <si>
    <t>Most complete QRL survey (VQC-based and fault-tolerant QRL)</t>
  </si>
  <si>
    <t>https://arxiv.org/abs/2211.03464</t>
  </si>
  <si>
    <t>Few robot-specific validations</t>
  </si>
  <si>
    <t>McClean, J.R., Boixo, S., Smelyanskiy, V.N., Babbush, R., Neven, H.</t>
  </si>
  <si>
    <t>Barren plateaus in quantum neural network training landscapes</t>
  </si>
  <si>
    <t>Nature Communications, 9, 4812</t>
  </si>
  <si>
    <t>Original barren-plateau result — gradients vanish exponentially with qubit count</t>
  </si>
  <si>
    <t>DOI: 10.1038/s41467-018-07090-4</t>
  </si>
  <si>
    <t>Core barrier to scalable QML for robots</t>
  </si>
  <si>
    <t>Larocca, M., Thanasilp, S., Wang, S., Sharma, K., Biamonte, J., Coles, P.J., Cincio, L., McClean, J.R., Holmes, Z., Cerezo, M.</t>
  </si>
  <si>
    <t>Barren plateaus in variational quantum computing</t>
  </si>
  <si>
    <t>Nature Reviews Physics (2025); arXiv:2405.00781</t>
  </si>
  <si>
    <t>Up-to-date review of barren plateaus and mitigation</t>
  </si>
  <si>
    <t>https://arxiv.org/abs/2405.00781</t>
  </si>
  <si>
    <t>Mitigation vs classical simulability trade-off</t>
  </si>
  <si>
    <t>3.2; 4.1 F4</t>
  </si>
  <si>
    <t>Cai, Z., Babbush, R., Benjamin, S.C., Endo, S., Huggins, W.J., Li, Y., McClean, J.R., O'Brien, T.E.</t>
  </si>
  <si>
    <t>Quantum error mitigation</t>
  </si>
  <si>
    <t>Reviews of Modern Physics, 95(4), 045005</t>
  </si>
  <si>
    <t>Definitive QEM review — anchor for §3.8.1</t>
  </si>
  <si>
    <t>Open Access (arXiv:2210.00921)</t>
  </si>
  <si>
    <t>DOI: 10.1103/RevModPhys.95.045005</t>
  </si>
  <si>
    <t>Sampling overhead = latency cost for robots</t>
  </si>
  <si>
    <t>Kandala, A., Temme, K., Córcoles, A.D., Mezzacapo, A., Chow, J.M., Gambetta, J.M.</t>
  </si>
  <si>
    <t>Error mitigation extends the computational reach of a noisy quantum processor</t>
  </si>
  <si>
    <t>Nature, 567, 491–495</t>
  </si>
  <si>
    <t>Hardware demonstration of zero-noise extrapolation</t>
  </si>
  <si>
    <t>Paywalled (Nature); arXiv</t>
  </si>
  <si>
    <t>DOI: 10.1038/s41586-019-1040-7</t>
  </si>
  <si>
    <t>Adds repeated circuit runs (latency)</t>
  </si>
  <si>
    <t>Temme, K., Bravyi, S., Gambetta, J.M.</t>
  </si>
  <si>
    <t>Error mitigation for short-depth quantum circuits</t>
  </si>
  <si>
    <t>Physical Review Letters, 119, 180509</t>
  </si>
  <si>
    <t>Introduces zero-noise extrapolation and probabilistic error cancellation</t>
  </si>
  <si>
    <t>Open Access (arXiv:1612.02058)</t>
  </si>
  <si>
    <t>DOI: 10.1103/PhysRevLett.119.180509</t>
  </si>
  <si>
    <t>Overhead vs real-time constraints</t>
  </si>
  <si>
    <t>Muradoğlu, M., Johnsson, M.T., Wilson, N.M., et al., Biercuk, M.J. (Q-CTRL)</t>
  </si>
  <si>
    <t>Quantum-assured magnetic navigation achieves positioning accuracy better than a strategic-grade INS in airborne and ground-based field trials</t>
  </si>
  <si>
    <t>arXiv:2504.08167</t>
  </si>
  <si>
    <t>Field-trialled quantum-magnetometer navigation (drone-sized) — strongest evidence for Finding 3</t>
  </si>
  <si>
    <t>https://arxiv.org/abs/2504.08167</t>
  </si>
  <si>
    <t>Field experiment</t>
  </si>
  <si>
    <t>Industry preprint; map dependence</t>
  </si>
  <si>
    <t>3.5; 4.1 F3</t>
  </si>
  <si>
    <t>Cheiney, P., Fouché, L., Templier, S., Napolitano, F., Battelier, B., Bouyer, P., Barrett, B.</t>
  </si>
  <si>
    <t>Navigation-compatible hybrid quantum accelerometer using a Kalman filter</t>
  </si>
  <si>
    <t>Physical Review Applied, 10, 034030</t>
  </si>
  <si>
    <t>Cold-atom + classical accelerometer fused by Kalman filter — bridge to robot state estimation</t>
  </si>
  <si>
    <t>DOI: 10.1103/PhysRevApplied.10.034030</t>
  </si>
  <si>
    <t>Dynamic range &amp; SWaP on mobile platforms</t>
  </si>
  <si>
    <t>3.5; 3.6</t>
  </si>
  <si>
    <t>Wang, X., Kealy, A., Gilliam, C., Haine, S., Close, J., Moran, B., et al.</t>
  </si>
  <si>
    <t>Enhancing inertial navigation performance via fusion of classical and quantum accelerometers</t>
  </si>
  <si>
    <t>arXiv:2103.09378</t>
  </si>
  <si>
    <t>Quantum/classical accelerometer fusion for INS</t>
  </si>
  <si>
    <t>https://arxiv.org/abs/2103.09378</t>
  </si>
  <si>
    <t>Simulation / analysis</t>
  </si>
  <si>
    <t>Needs vehicle-level trials</t>
  </si>
  <si>
    <t>Bongs, K., Holynski, M., Vovrosh, J., et al.</t>
  </si>
  <si>
    <t>Taking atom interferometric quantum sensors from the laboratory to real-world applications</t>
  </si>
  <si>
    <t>Nature Reviews Physics, 1, 731–739</t>
  </si>
  <si>
    <t>Review of field-deployable atom-interferometric sensors</t>
  </si>
  <si>
    <t>DOI: 10.1038/s42254-019-0117-4</t>
  </si>
  <si>
    <t>SWaP &amp; robustness for robots</t>
  </si>
  <si>
    <t>Quantum Simulation (Materials)</t>
  </si>
  <si>
    <t>McArdle, S., Endo, S., Aspuru-Guzik, A., Benjamin, S.C., Yuan, X.</t>
  </si>
  <si>
    <t>Quantum computational chemistry</t>
  </si>
  <si>
    <t>Reviews of Modern Physics, 92, 015003</t>
  </si>
  <si>
    <t>Core review for quantum simulation of molecules/materials (batteries, actuators, sensors)</t>
  </si>
  <si>
    <t>Open Access (arXiv:1808.10402)</t>
  </si>
  <si>
    <t>DOI: 10.1103/RevModPhys.92.015003</t>
  </si>
  <si>
    <t>Indirect robotics link (materials design)</t>
  </si>
  <si>
    <t>3.8.5</t>
  </si>
  <si>
    <t>Bauer, B., Bravyi, S., Motta, M., Chan, G.K.-L.</t>
  </si>
  <si>
    <t>Quantum algorithms for quantum chemistry and quantum materials science</t>
  </si>
  <si>
    <t>Chemical Reviews, 120(22), 12685–12717</t>
  </si>
  <si>
    <t>Resource-aware review of quantum materials simulation</t>
  </si>
  <si>
    <t>Open Access (arXiv:2001.03685)</t>
  </si>
  <si>
    <t>DOI: 10.1021/acs.chemrev.9b00829</t>
  </si>
  <si>
    <t>Fault tolerance needed for most targets</t>
  </si>
  <si>
    <t>Benioff, P.</t>
  </si>
  <si>
    <t>Quantum robots and environments</t>
  </si>
  <si>
    <t>Physical Review A, 58(2), 893</t>
  </si>
  <si>
    <t>First 'quantum robot' concept — origin of the field</t>
  </si>
  <si>
    <t>DOI: 10.1103/PhysRevA.58.893</t>
  </si>
  <si>
    <t>Conceptual only</t>
  </si>
  <si>
    <t>Moreira, C., Wichert, A.</t>
  </si>
  <si>
    <t>Quantum-like Bayesian networks for modeling decision making</t>
  </si>
  <si>
    <t>Frontiers in Psychology, 7, 11</t>
  </si>
  <si>
    <t>Replaces classical probabilities with amplitudes in Bayesian nets — direct alternative to classical belief nets / fusion</t>
  </si>
  <si>
    <t>DOI: 10.3389/fpsyg.2016.00011</t>
  </si>
  <si>
    <t>Interference parameter selection is heuristic</t>
  </si>
  <si>
    <t>§7.3; §14.1; §16.1</t>
  </si>
  <si>
    <t>Interference effects in quantum belief networks</t>
  </si>
  <si>
    <t>Applied Soft Computing, 25, 64–85</t>
  </si>
  <si>
    <t>Quantum belief networks with interference — algorithmic basis for robot inference</t>
  </si>
  <si>
    <t>Appl Soft Comput 25:64-85</t>
  </si>
  <si>
    <t>Scalability to large networks</t>
  </si>
  <si>
    <t>§6.1; §7.3</t>
  </si>
  <si>
    <t>Moreira, C., Fell, L., Dehdashti, S., Bruza, P., Wichert, A.</t>
  </si>
  <si>
    <t>Towards a quantum-like cognitive architecture for decision-making</t>
  </si>
  <si>
    <t>Behavioral and Brain Sciences, 43, e17</t>
  </si>
  <si>
    <t>Proposes a quantum-like cognitive architecture — template for an agent/robot architecture</t>
  </si>
  <si>
    <t>BBS 43:e17</t>
  </si>
  <si>
    <t>Theoretical / architecture</t>
  </si>
  <si>
    <t>Commentary-length; no robot implementation</t>
  </si>
  <si>
    <t>§2.5; §11; §13.3</t>
  </si>
  <si>
    <t>Humr, S., et al.</t>
  </si>
  <si>
    <t>A quantum probability approach to improving human–AI decision making</t>
  </si>
  <si>
    <t>Entropy, 27(2), 152</t>
  </si>
  <si>
    <t>Applies quantum probability to human-in-the-loop AI decisions (order effects, uncertainty)</t>
  </si>
  <si>
    <t>DOI: 10.3390/e27020152</t>
  </si>
  <si>
    <t>Perspective</t>
  </si>
  <si>
    <t>Perspective paper; no experiment</t>
  </si>
  <si>
    <t>§19.2; §13.3</t>
  </si>
  <si>
    <t>Busemeyer, J.R., Zhang, Q., Balakrishnan, S.N., Wang, Z.</t>
  </si>
  <si>
    <t>Application of quantum–Markov open system models to human cognition and decision</t>
  </si>
  <si>
    <t>Entropy, 22(9), 990</t>
  </si>
  <si>
    <t>Open-system (quantum + Markov) dynamics — bridges quantum and classical models</t>
  </si>
  <si>
    <t>DOI: 10.3390/e22090990</t>
  </si>
  <si>
    <t>Parameter count grows quickly</t>
  </si>
  <si>
    <t>§14.1; §18.1</t>
  </si>
  <si>
    <t>Kvam, P.D., Busemeyer, J.R., Pleskac, T.J.</t>
  </si>
  <si>
    <t>Temporal oscillations in preference strength provide evidence for an open system model of constructed preference</t>
  </si>
  <si>
    <t>Scientific Reports, 11</t>
  </si>
  <si>
    <t>Empirical evidence for oscillating preferences predicted by quantum/open-system models</t>
  </si>
  <si>
    <t>Sci Rep 11 (2021)</t>
  </si>
  <si>
    <t>Human data; agent transfer open</t>
  </si>
  <si>
    <t>§5.6</t>
  </si>
  <si>
    <t>Wang, Z., Busemeyer, J.R.</t>
  </si>
  <si>
    <t>A quantum question order model supported by empirical tests of an a priori and precise prediction</t>
  </si>
  <si>
    <t>Topics in Cognitive Science, 5(4), 689–710</t>
  </si>
  <si>
    <t>Derives and tests the QQ-equality — core evidence for order effects</t>
  </si>
  <si>
    <t>DOI: 10.1111/tops.12040</t>
  </si>
  <si>
    <t>Human survey data</t>
  </si>
  <si>
    <t>Yukalov, V.I., Sornette, D.</t>
  </si>
  <si>
    <t>Decision theory with prospect interference and entanglement</t>
  </si>
  <si>
    <t>Theory and Decision, 70, 283–328</t>
  </si>
  <si>
    <t>Quantum Decision Theory (QDT) — main alternative framework to Busemeyer's</t>
  </si>
  <si>
    <t>Paywalled (Springer)</t>
  </si>
  <si>
    <t>Theory Decis 70:283-328</t>
  </si>
  <si>
    <t>Competing formalism; compare in §13</t>
  </si>
  <si>
    <t>§13.2</t>
  </si>
  <si>
    <t>Ashtiani, M., Azgomi, M.A.</t>
  </si>
  <si>
    <t>A survey of quantum-like approaches to decision making and cognition</t>
  </si>
  <si>
    <t>Mathematical Social Sciences, 75, 49–80</t>
  </si>
  <si>
    <t>Prior survey of quantum-like decision models — must position against</t>
  </si>
  <si>
    <t>Math Soc Sci 75:49-80</t>
  </si>
  <si>
    <t>Pre-2015; no AI/robotics coverage</t>
  </si>
  <si>
    <t>§23.1</t>
  </si>
  <si>
    <t>Martínez-Martínez, I., Sánchez-Burillo, E.</t>
  </si>
  <si>
    <t>Quantum stochastic walks on networks for decision-making</t>
  </si>
  <si>
    <t>Scientific Reports, 6</t>
  </si>
  <si>
    <t>Quantum stochastic walks for decisions on networks — basis for multi-agent/network decisions</t>
  </si>
  <si>
    <t>Sci Rep 6 (2016)</t>
  </si>
  <si>
    <t>Not applied to robots</t>
  </si>
  <si>
    <t>Boyer-Kassem, T., Duchêne, S., Guerci, E.</t>
  </si>
  <si>
    <t>Quantum-like models cannot account for the conjunction fallacy</t>
  </si>
  <si>
    <t>Theory and Decision, 81(4), 479–510</t>
  </si>
  <si>
    <t>Key critique — essential for the honest limitations section</t>
  </si>
  <si>
    <t>Theory Decis 81(4):479-510</t>
  </si>
  <si>
    <t>Empirical / critique</t>
  </si>
  <si>
    <t>Challenges §5.4 claims</t>
  </si>
  <si>
    <t>§17.1; §14</t>
  </si>
  <si>
    <t>Aerts, D., Arguëlles, J.A., Beltran, L., et al.</t>
  </si>
  <si>
    <t>Testing quantum models of conjunction fallacy on the World Wide Web</t>
  </si>
  <si>
    <t>International Journal of Theoretical Physics (2017); arXiv:1609.07721</t>
  </si>
  <si>
    <t>Compares order-effect vs emergence explanations of the conjunction fallacy</t>
  </si>
  <si>
    <t>https://arxiv.org/abs/1609.07721</t>
  </si>
  <si>
    <t>Web data as proxy for cognition</t>
  </si>
  <si>
    <t>Classical Decision Theory</t>
  </si>
  <si>
    <t>Tversky, A., Kahneman, D.</t>
  </si>
  <si>
    <t>Extensional versus intuitive reasoning: the conjunction fallacy in probability judgment</t>
  </si>
  <si>
    <t>Psychological Review, 90(4), 293–315</t>
  </si>
  <si>
    <t>Original conjunction-fallacy paper (Linda problem)</t>
  </si>
  <si>
    <t>Psychol Rev 90(4):293-315</t>
  </si>
  <si>
    <t>§2.1.3; §5.4</t>
  </si>
  <si>
    <t>Judgment under uncertainty: heuristics and biases</t>
  </si>
  <si>
    <t>Science, 185(4157), 1124–1131</t>
  </si>
  <si>
    <t>Founding heuristics-and-biases paper</t>
  </si>
  <si>
    <t>DOI: 10.1126/science.185.4157.1124</t>
  </si>
  <si>
    <t>§2.1.3</t>
  </si>
  <si>
    <t>Savage, L.J.</t>
  </si>
  <si>
    <t>The Foundations of Statistics</t>
  </si>
  <si>
    <t>Sure-thing principle / subjective expected utility — axiom violated by quantum-cognition data</t>
  </si>
  <si>
    <t>Wiley (1954)</t>
  </si>
  <si>
    <t>§2.1.2; §6.3.1</t>
  </si>
  <si>
    <t>Ellsberg, D.</t>
  </si>
  <si>
    <t>Risk, ambiguity, and the Savage axioms</t>
  </si>
  <si>
    <t>Quarterly Journal of Economics, 75(4), 643–669</t>
  </si>
  <si>
    <t>Ambiguity aversion — classic violation of expected utility</t>
  </si>
  <si>
    <t>DOI: 10.2307/1884324</t>
  </si>
  <si>
    <t>Shafir, E., Tversky, A.</t>
  </si>
  <si>
    <t>Thinking through uncertainty: nonconsequential reasoning and choice</t>
  </si>
  <si>
    <t>Cognitive Psychology, 24(4), 449–474</t>
  </si>
  <si>
    <t>Disjunction effect / Prisoner's Dilemma data used by quantum models</t>
  </si>
  <si>
    <t>DOI: 10.1016/0010-0285(92)90015-T</t>
  </si>
  <si>
    <t>§2.2.3; §5.5</t>
  </si>
  <si>
    <t>von Neumann, J.</t>
  </si>
  <si>
    <t>Mathematische Grundlagen der Quantenmechanik (Eng. trans. 1955: Mathematical Foundations of Quantum Mechanics)</t>
  </si>
  <si>
    <t>Springer / Princeton University Press</t>
  </si>
  <si>
    <t>Hilbert-space formalism that quantum cognition borrows</t>
  </si>
  <si>
    <t>Princeton UP (1955)</t>
  </si>
  <si>
    <t>Historical foundation</t>
  </si>
  <si>
    <t>§2.1.1; §3</t>
  </si>
  <si>
    <t>Quantum-Inspired ML/DL</t>
  </si>
  <si>
    <t>Li, Q., Wang, B., Melucci, M.</t>
  </si>
  <si>
    <t>CNM: an interpretable complex-valued network for matching</t>
  </si>
  <si>
    <t>NAACL-HLT 2019; arXiv:1904.05298</t>
  </si>
  <si>
    <t>Quantum-probability-inspired complex-valued network (words as superpositions, density matrices)</t>
  </si>
  <si>
    <t>https://arxiv.org/abs/1904.05298</t>
  </si>
  <si>
    <t>NLP only; robot perception untested</t>
  </si>
  <si>
    <t>§9.1.2; §8.1.2</t>
  </si>
  <si>
    <t>Zhang, P., Su, Z., Zhang, L., Wang, B., Song, D.</t>
  </si>
  <si>
    <t>A quantum many-body wave function inspired language modeling approach</t>
  </si>
  <si>
    <t>CIKM 2018</t>
  </si>
  <si>
    <t>Tensor-product (entanglement-like) language model; justifies CNN structure</t>
  </si>
  <si>
    <t>Paywalled (ACM)</t>
  </si>
  <si>
    <t>Text only</t>
  </si>
  <si>
    <t>§9.1</t>
  </si>
  <si>
    <t>Li, Q., Gkoumas, D., Sordoni, A., Nie, J.-Y., Melucci, M.</t>
  </si>
  <si>
    <t>Quantum-inspired neural network for conversational emotion recognition</t>
  </si>
  <si>
    <t>AAAI 2021, 35, 13270–13278</t>
  </si>
  <si>
    <t>Quantum-inspired DL with interference in context modelling</t>
  </si>
  <si>
    <t>AAAI 35:13270-13278</t>
  </si>
  <si>
    <t>Transfer to HRI emotion open</t>
  </si>
  <si>
    <t>§9.3; §12</t>
  </si>
  <si>
    <t>Li, Q., Gkoumas, D., Lioma, C., Melucci, M.</t>
  </si>
  <si>
    <t>Quantum-inspired multimodal fusion for video sentiment analysis</t>
  </si>
  <si>
    <t>Information Fusion, 65, 58–71</t>
  </si>
  <si>
    <t>Quantum-inspired multimodal fusion — direct precedent for §7.3 sensor fusion</t>
  </si>
  <si>
    <t>Inf Fusion 65:58-71</t>
  </si>
  <si>
    <t>Video/text, not robot sensors</t>
  </si>
  <si>
    <t>§7.3.2; §16.1</t>
  </si>
  <si>
    <t>Sordoni, A., Nie, J.-Y., Bengio, Y.</t>
  </si>
  <si>
    <t>Modeling term dependencies with quantum language models for IR</t>
  </si>
  <si>
    <t>SIGIR 2013</t>
  </si>
  <si>
    <t>Density-matrix language model — origin of quantum-inspired IR/NLP</t>
  </si>
  <si>
    <t>IR only</t>
  </si>
  <si>
    <t>§8.3; §2.4.1</t>
  </si>
  <si>
    <t>Stoudenmire, E.M., Schwab, D.J.</t>
  </si>
  <si>
    <t>Supervised learning with tensor networks</t>
  </si>
  <si>
    <t>NeurIPS 29</t>
  </si>
  <si>
    <t>Tensor-network (quantum-inspired) classifiers — classically simulable QC-style models</t>
  </si>
  <si>
    <t>Open Access (arXiv:1605.05775)</t>
  </si>
  <si>
    <t>https://arxiv.org/abs/1605.05775</t>
  </si>
  <si>
    <t>Scaling to high-dim robot data</t>
  </si>
  <si>
    <t>§9.1; §20.1</t>
  </si>
  <si>
    <t>Tjuatja, L., Chen, V., Wu, T., Talwalkar, A., Neubig, G.</t>
  </si>
  <si>
    <t>Do LLMs exhibit human-like response biases? A case study in survey design</t>
  </si>
  <si>
    <t>Transactions of the ACL, 12, 1011–1026</t>
  </si>
  <si>
    <t>Question-order/response biases in LLMs — evidence for §9.3.1 attention order effects</t>
  </si>
  <si>
    <t>DOI: 10.1162/tacl_a_00685</t>
  </si>
  <si>
    <t>Not modelled with quantum probability</t>
  </si>
  <si>
    <t>§9.3.1; §14.3</t>
  </si>
  <si>
    <t>Binz, M., Schulz, E.</t>
  </si>
  <si>
    <t>Using cognitive psychology to understand GPT-3</t>
  </si>
  <si>
    <t>PNAS, 120(6), e2218523120</t>
  </si>
  <si>
    <t>Cognitive-bias tests on LLMs (incl. decision anomalies)</t>
  </si>
  <si>
    <t>DOI: 10.1073/pnas.2218523120</t>
  </si>
  <si>
    <t>Links to quantum models unexplored</t>
  </si>
  <si>
    <t>§14.3</t>
  </si>
  <si>
    <t>Friston, K.</t>
  </si>
  <si>
    <t>The free-energy principle: a unified brain theory?</t>
  </si>
  <si>
    <t>Nature Reviews Neuroscience, 11(2), 127–138</t>
  </si>
  <si>
    <t>Predictive processing / active inference — bridge in §21.2</t>
  </si>
  <si>
    <t>DOI: 10.1038/nrn2787</t>
  </si>
  <si>
    <t>Classical account; compare with QP</t>
  </si>
  <si>
    <t>§21.2; §11.3</t>
  </si>
  <si>
    <t>Clark, A.</t>
  </si>
  <si>
    <t>Whatever next? Predictive brains, situated agents, and the future of cognitive science</t>
  </si>
  <si>
    <t>Behavioral and Brain Sciences, 36(3), 181–204</t>
  </si>
  <si>
    <t>Predictive-processing target article — embodied agents</t>
  </si>
  <si>
    <t>DOI: 10.1017/S0140525X12000477</t>
  </si>
  <si>
    <t>Classical account</t>
  </si>
  <si>
    <t>Tegmark, M.</t>
  </si>
  <si>
    <t>Importance of quantum decoherence in brain processes</t>
  </si>
  <si>
    <t>Physical Review E, 61(4), 4194</t>
  </si>
  <si>
    <t>Shows brain decoherence is too fast for quantum computation — supports 'quantum-like, not quantum brain' stance</t>
  </si>
  <si>
    <t>Open Access (arXiv:quant-ph/9907009)</t>
  </si>
  <si>
    <t>DOI: 10.1103/PhysRevE.61.4194</t>
  </si>
  <si>
    <t>Counter-argument to Orch-OR</t>
  </si>
  <si>
    <t>§21.1; §21.3</t>
  </si>
  <si>
    <t>Software &amp; Frameworks</t>
  </si>
  <si>
    <t>Bergholm, V., Izaac, J., Schuld, M., et al.</t>
  </si>
  <si>
    <t>PennyLane: automatic differentiation of hybrid quantum-classical computations</t>
  </si>
  <si>
    <t>arXiv:1811.04968</t>
  </si>
  <si>
    <t>Main software stack for hybrid QML/quantum-cognition simulations</t>
  </si>
  <si>
    <t>https://arxiv.org/abs/1811.04968</t>
  </si>
  <si>
    <t>Software</t>
  </si>
  <si>
    <t>Tooling reference</t>
  </si>
  <si>
    <t>§20.3</t>
  </si>
  <si>
    <t>Broughton, M., Verdon, G., McCourt, T., et al.</t>
  </si>
  <si>
    <t>TensorFlow Quantum: a software framework for quantum machine learning</t>
  </si>
  <si>
    <t>arXiv:2003.02989</t>
  </si>
  <si>
    <t>TF integration for hybrid quantum-classical models</t>
  </si>
  <si>
    <t>https://arxiv.org/abs/2003.02989</t>
  </si>
  <si>
    <t>Kalman, R.E.</t>
  </si>
  <si>
    <t>A new approach to linear filtering and prediction problems</t>
  </si>
  <si>
    <t>Journal of Basic Engineering, 82(1), 35–45</t>
  </si>
  <si>
    <t>Kalman filter — classical baseline for case study 1</t>
  </si>
  <si>
    <t>DOI: 10.1115/1.3662552</t>
  </si>
  <si>
    <t>Assumes independent Gaussian noise</t>
  </si>
  <si>
    <t>§16.1.2; §7.3.1</t>
  </si>
  <si>
    <t>Gao, Q., Dong, D., Petersen, I.R., Ding, S.X.</t>
  </si>
  <si>
    <t>Design of a discrete-time fault-tolerant quantum filter and fault detector</t>
  </si>
  <si>
    <t>IEEE Transactions on Cybernetics, 51(2), 889–899</t>
  </si>
  <si>
    <t>Quantum filtering for fault detection — relevant to §15.1.1 benchmark</t>
  </si>
  <si>
    <t>IEEE TCYB 51:889-899</t>
  </si>
  <si>
    <t>Theoretical / simulation</t>
  </si>
  <si>
    <t>Quantum systems, not robots</t>
  </si>
  <si>
    <t>§15.1.1; §22.1.1</t>
  </si>
  <si>
    <t>Eisert, J., Wilkens, M., Lewenstein, M.</t>
  </si>
  <si>
    <t>Quantum games and quantum strategies</t>
  </si>
  <si>
    <t>Physical Review Letters, 83(15), 3077</t>
  </si>
  <si>
    <t>Quantum game theory — basis for multi-agent coordination</t>
  </si>
  <si>
    <t>Open Access (arXiv:quant-ph/9806088)</t>
  </si>
  <si>
    <t>DOI: 10.1103/PhysRevLett.83.3077</t>
  </si>
  <si>
    <t>Needs shared entanglement</t>
  </si>
  <si>
    <t>QRL survey — position §10 against it</t>
  </si>
  <si>
    <t>Hardware-QRL focus</t>
  </si>
  <si>
    <t>§23.3; §10</t>
  </si>
  <si>
    <t>Quantum-robotics position paper — related-surveys section</t>
  </si>
  <si>
    <t>No cognition coverage</t>
  </si>
  <si>
    <t>In other survey?</t>
  </si>
  <si>
    <t>Survey Coverage Tracker — papers tagged per outline section</t>
  </si>
  <si>
    <t>Minimum papers per section</t>
  </si>
  <si>
    <t>Survey 1 — Quantum Computing for Robotics</t>
  </si>
  <si>
    <t>Survey 2 — Quantum Cognition</t>
  </si>
  <si>
    <t>§</t>
  </si>
  <si>
    <t>Papers</t>
  </si>
  <si>
    <t>1.1</t>
  </si>
  <si>
    <t>The quantum-robotics challenge</t>
  </si>
  <si>
    <t>1.2</t>
  </si>
  <si>
    <t>Research gap &amp; motivation</t>
  </si>
  <si>
    <t>1.3</t>
  </si>
  <si>
    <t>Historical context (Eras 1–4)</t>
  </si>
  <si>
    <t>3.1</t>
  </si>
  <si>
    <t>QAOA / quantum optimisation</t>
  </si>
  <si>
    <t>3.2</t>
  </si>
  <si>
    <t>Variational QML</t>
  </si>
  <si>
    <t>3.3</t>
  </si>
  <si>
    <t>3.4</t>
  </si>
  <si>
    <t>Grover / quantum search</t>
  </si>
  <si>
    <t>3.5</t>
  </si>
  <si>
    <t>Quantum sensing &amp; metrology</t>
  </si>
  <si>
    <t>3.6</t>
  </si>
  <si>
    <t>Hybrid quantum-classical architectures</t>
  </si>
  <si>
    <t>3.7</t>
  </si>
  <si>
    <t>Quantum cognition for decision-making</t>
  </si>
  <si>
    <t>Quantum-inspired classical algorithms</t>
  </si>
  <si>
    <t>Distributed QC for swarms</t>
  </si>
  <si>
    <t>3.8.4</t>
  </si>
  <si>
    <t>Enhanced hybrid architectures</t>
  </si>
  <si>
    <t>Quantum simulation for materials</t>
  </si>
  <si>
    <t>4.1</t>
  </si>
  <si>
    <t>Synthesis of key findings</t>
  </si>
  <si>
    <t>1</t>
  </si>
  <si>
    <t>Introduction</t>
  </si>
  <si>
    <t>2</t>
  </si>
  <si>
    <t>Evolution of quantum cognition</t>
  </si>
  <si>
    <t>3</t>
  </si>
  <si>
    <t>Mathematical preliminaries</t>
  </si>
  <si>
    <t>4</t>
  </si>
  <si>
    <t>Terminology &amp; glossary</t>
  </si>
  <si>
    <t>5</t>
  </si>
  <si>
    <t>Foundational theory</t>
  </si>
  <si>
    <t>6</t>
  </si>
  <si>
    <t>Perception, memory, decision</t>
  </si>
  <si>
    <t>7</t>
  </si>
  <si>
    <t>Learning, planning, fusion</t>
  </si>
  <si>
    <t>8</t>
  </si>
  <si>
    <t>QC for ML &amp; AI</t>
  </si>
  <si>
    <t>9</t>
  </si>
  <si>
    <t>QC for deep learning</t>
  </si>
  <si>
    <t>10</t>
  </si>
  <si>
    <t>QC for reinforcement learning</t>
  </si>
  <si>
    <t>11</t>
  </si>
  <si>
    <t>Physical AI &amp; embodied</t>
  </si>
  <si>
    <t>12</t>
  </si>
  <si>
    <t>Multi-agent &amp; collective</t>
  </si>
  <si>
    <t>13</t>
  </si>
  <si>
    <t>Prior work &amp; positioning</t>
  </si>
  <si>
    <t>14</t>
  </si>
  <si>
    <t>Quantum vs classical comparison</t>
  </si>
  <si>
    <t>15</t>
  </si>
  <si>
    <t>Validation roadmap</t>
  </si>
  <si>
    <t>16</t>
  </si>
  <si>
    <t>Case studies</t>
  </si>
  <si>
    <t>17</t>
  </si>
  <si>
    <t>Limitations &amp; failure modes</t>
  </si>
  <si>
    <t>18</t>
  </si>
  <si>
    <t>Assumptions &amp; caveats</t>
  </si>
  <si>
    <t>19</t>
  </si>
  <si>
    <t>Ethics, safety, transparency</t>
  </si>
  <si>
    <t>20</t>
  </si>
  <si>
    <t>Hardware &amp; implementation</t>
  </si>
  <si>
    <t>21</t>
  </si>
  <si>
    <t>Neuroscience connection</t>
  </si>
  <si>
    <t>22</t>
  </si>
  <si>
    <t>Benchmarks &amp; reproducibility</t>
  </si>
  <si>
    <t>23</t>
  </si>
  <si>
    <t>Related surveys</t>
  </si>
  <si>
    <t>24</t>
  </si>
  <si>
    <t>Open problems</t>
  </si>
  <si>
    <t>25</t>
  </si>
  <si>
    <t>Sections below minimum</t>
  </si>
  <si>
    <t>Feynman, R.P.</t>
  </si>
  <si>
    <t>Simulating physics with computers</t>
  </si>
  <si>
    <t>International Journal of Theoretical Physics, 21(6–7), 467–488</t>
  </si>
  <si>
    <t>Origin of the quantum-computer idea — anchors Era 1</t>
  </si>
  <si>
    <t>DOI: 10.1007/BF02650179</t>
  </si>
  <si>
    <t>Historical; no robotics content</t>
  </si>
  <si>
    <t>1.3 Era 1</t>
  </si>
  <si>
    <t>Deutsch, D.</t>
  </si>
  <si>
    <t>Quantum theory, the Church–Turing principle and the universal quantum computer</t>
  </si>
  <si>
    <t>Proceedings of the Royal Society A, 400(1818), 97–117</t>
  </si>
  <si>
    <t>Defines the universal quantum computer — Era 1</t>
  </si>
  <si>
    <t>Paywalled (Royal Society)</t>
  </si>
  <si>
    <t>DOI: 10.1098/rspa.1985.0070</t>
  </si>
  <si>
    <t>Deutsch, D., Jozsa, R.</t>
  </si>
  <si>
    <t>Rapid solution of problems by quantum computation</t>
  </si>
  <si>
    <t>Proceedings of the Royal Society A, 439(1907), 553–558</t>
  </si>
  <si>
    <t>First exponential oracle separation — bridges Era 1 to Era 2</t>
  </si>
  <si>
    <t>DOI: 10.1098/rspa.1992.0167</t>
  </si>
  <si>
    <t>Oracle problem; no practical use</t>
  </si>
  <si>
    <t>Johnson, M.W., Amin, M.H.S., Gildert, S., et al. (D-Wave)</t>
  </si>
  <si>
    <t>Quantum annealing with manufactured spins</t>
  </si>
  <si>
    <t>Nature, 473, 194–198</t>
  </si>
  <si>
    <t>Early commercial annealing hardware — Era 3 and background for QUBO robot scheduling</t>
  </si>
  <si>
    <t>DOI: 10.1038/nature10012</t>
  </si>
  <si>
    <t>Quantum speed-up of annealing still debated</t>
  </si>
  <si>
    <t>1.3 Era 3; 3.1</t>
  </si>
  <si>
    <t>Review Methodology</t>
  </si>
  <si>
    <t>Page, M.J., McKenzie, J.E., Bossuyt, P.M., et al.</t>
  </si>
  <si>
    <t>The PRISMA 2020 statement: an updated guideline for reporting systematic reviews</t>
  </si>
  <si>
    <t>BMJ, 372, n71</t>
  </si>
  <si>
    <t>Reporting standard for the SLR — needed for §2 and Appendix B</t>
  </si>
  <si>
    <t>DOI: 10.1136/bmj.n71</t>
  </si>
  <si>
    <t>Methodology</t>
  </si>
  <si>
    <t>Reporting guideline</t>
  </si>
  <si>
    <t>Designed for health research; adapt for engineering</t>
  </si>
  <si>
    <t>2.1; 2.3; App B</t>
  </si>
  <si>
    <t>Kitchenham, B., Charters, S.</t>
  </si>
  <si>
    <t>Guidelines for performing systematic literature reviews in software engineering</t>
  </si>
  <si>
    <t>EBSE Technical Report EBSE-2007-01, Keele University &amp; Durham University</t>
  </si>
  <si>
    <t>Standard SLR protocol for computing/engineering — search, selection and quality assessment</t>
  </si>
  <si>
    <t>EBSE-2007-01</t>
  </si>
  <si>
    <t>Methodological guideline</t>
  </si>
  <si>
    <t>Quality rubric needs tailoring to quantum-robotics evidence</t>
  </si>
  <si>
    <t>2.1; 2.4; App C</t>
  </si>
  <si>
    <t>Clark, J., West, T., Zammit, J., Guo, X., Mason, L., Russell, D.</t>
  </si>
  <si>
    <t>Towards real time multi-robot routing using quantum computing technologies</t>
  </si>
  <si>
    <t>HPC Asia 2019 (ACM)</t>
  </si>
  <si>
    <t>Hybrid quantum annealing for real-time multi-robot routing — frames the real-time challenge</t>
  </si>
  <si>
    <t>DOI: 10.1145/3293320.3293333</t>
  </si>
  <si>
    <t>Real-time guarantees under cloud QPU access</t>
  </si>
  <si>
    <t>1.1; 4.1 F2</t>
  </si>
  <si>
    <t>Added 2026-09-25 — verified via web search; confirm author list</t>
  </si>
  <si>
    <t>Siciliano, B., Khatib, O. (eds.)</t>
  </si>
  <si>
    <t>Springer Handbook of Robotics (2nd ed.)</t>
  </si>
  <si>
    <t>Canonical robotics reference — defines the perception/planning/control problems quantum must address</t>
  </si>
  <si>
    <t>DOI: 10.1007/978-3-319-32552-1</t>
  </si>
  <si>
    <t>Baseline only</t>
  </si>
  <si>
    <t>Kober, J., Bagnell, J.A., Peters, J.</t>
  </si>
  <si>
    <t>Reinforcement learning in robotics: a survey</t>
  </si>
  <si>
    <t>International Journal of Robotics Research, 32(11), 1238–1274</t>
  </si>
  <si>
    <t>Classical robot-RL challenges (sample cost, real-time) — baseline for QRL</t>
  </si>
  <si>
    <t>Paywalled (SAGE)</t>
  </si>
  <si>
    <t>DOI: 10.1177/0278364913495721</t>
  </si>
  <si>
    <t>Classical baseline quantum RL must beat</t>
  </si>
  <si>
    <t>1.1; 3.3 classical baseline</t>
  </si>
  <si>
    <t>Gill, S.S., Kumar, A., Singh, H., Singh, M., Kaur, K., Usman, M., Buyya, R.</t>
  </si>
  <si>
    <t>Quantum computing: a taxonomy, systematic review and future directions</t>
  </si>
  <si>
    <t>Software: Practice and Experience, 52(1), 66–114</t>
  </si>
  <si>
    <t>Broad QC systematic review — methodological precedent and positioning</t>
  </si>
  <si>
    <t>DOI: 10.1002/spe.3039</t>
  </si>
  <si>
    <t>Systematic review</t>
  </si>
  <si>
    <t>Not robotics-specific</t>
  </si>
  <si>
    <t>Added 2026-09-25 — verified via web search; confirm DOI</t>
  </si>
  <si>
    <t>Otani, T., Takanishi, A., Hara, N., Takita, Y., Kimura, K.</t>
  </si>
  <si>
    <t>Quantum computation for robot posture optimization</t>
  </si>
  <si>
    <t>Scientific Reports, 15, 28508</t>
  </si>
  <si>
    <t>Recent quantum optimisation of robot posture — current evidence for the research gap</t>
  </si>
  <si>
    <t>Sci Rep 15:28508</t>
  </si>
  <si>
    <t>Small problem sizes; hardware scaling</t>
  </si>
  <si>
    <t>1.2; 3.1</t>
  </si>
  <si>
    <t>Added 2026-09-25 — verified via web search; add DOI</t>
  </si>
  <si>
    <t>Quantum-Inspired Algorithms</t>
  </si>
  <si>
    <t>Han, K.-H., Kim, J.-H.</t>
  </si>
  <si>
    <t>Quantum-inspired evolutionary algorithm for a class of combinatorial optimization</t>
  </si>
  <si>
    <t>IEEE Transactions on Evolutionary Computation, 6(6), 580–593</t>
  </si>
  <si>
    <t>Founding quantum-inspired evolutionary algorithm (Q-bit representation)</t>
  </si>
  <si>
    <t>DOI: 10.1109/TEVC.2002.804320</t>
  </si>
  <si>
    <t>Classical metaheuristic — no quantum hardware</t>
  </si>
  <si>
    <t>Chia, N.-H., Gilyén, A., Li, T., Lin, H.-H., Tang, E., Wang, C.</t>
  </si>
  <si>
    <t>Sampling-based sublinear low-rank matrix arithmetic framework for dequantizing quantum machine learning</t>
  </si>
  <si>
    <t>STOC 2020 (ACM); J. ACM 69(5), 2022</t>
  </si>
  <si>
    <t>Generalises dequantisation to most quantum linear-algebra QML — key QICA/critique paper</t>
  </si>
  <si>
    <t>Open Access (arXiv:1910.06151)</t>
  </si>
  <si>
    <t>DOI: 10.1145/3357713.3384314</t>
  </si>
  <si>
    <t>Limits exponential QML speed-up claims</t>
  </si>
  <si>
    <t>3.8.2; 4.1 F1</t>
  </si>
  <si>
    <t>Goto, H., Tatsumura, K., Dixon, A.R.</t>
  </si>
  <si>
    <t>Combinatorial optimization by simulating adiabatic bifurcations in nonlinear Hamiltonian systems</t>
  </si>
  <si>
    <t>Science Advances, 5(4), eaav2372</t>
  </si>
  <si>
    <t>Simulated bifurcation — quantum-inspired Ising solver on classical hardware (GPU/FPGA)</t>
  </si>
  <si>
    <t>DOI: 10.1126/sciadv.aav2372</t>
  </si>
  <si>
    <t>Robot-scheduling benchmarks still needed</t>
  </si>
  <si>
    <t>Hybrid Quantum-Classical</t>
  </si>
  <si>
    <t>Peruzzo, A., McClean, J., Shadbolt, P., et al.</t>
  </si>
  <si>
    <t>A variational eigenvalue solver on a photonic quantum processor</t>
  </si>
  <si>
    <t>Nature Communications, 5, 4213</t>
  </si>
  <si>
    <t>Introduces VQE — the original hybrid quantum-classical loop</t>
  </si>
  <si>
    <t>DOI: 10.1038/ncomms5213</t>
  </si>
  <si>
    <t>Classical-optimiser overhead</t>
  </si>
  <si>
    <t>3.8.4; 3.8.5</t>
  </si>
  <si>
    <t>McClean, J.R., Romero, J., Babbush, R., Aspuru-Guzik, A.</t>
  </si>
  <si>
    <t>The theory of variational hybrid quantum-classical algorithms</t>
  </si>
  <si>
    <t>New Journal of Physics, 18, 023023</t>
  </si>
  <si>
    <t>Formal theory of variational hybrid algorithms</t>
  </si>
  <si>
    <t>DOI: 10.1088/1367-2630/18/2/023023</t>
  </si>
  <si>
    <t>Convergence and measurement cost</t>
  </si>
  <si>
    <t>Endo, S., Cai, Z., Benjamin, S.C., Yuan, X.</t>
  </si>
  <si>
    <t>Hybrid quantum-classical algorithms and quantum error mitigation</t>
  </si>
  <si>
    <t>Journal of the Physical Society of Japan, 90(3), 032001</t>
  </si>
  <si>
    <t>Review of hybrid algorithms plus mitigation — ties 3.8.1 and 3.8.4</t>
  </si>
  <si>
    <t>Open Access (arXiv:2011.01382)</t>
  </si>
  <si>
    <t>DOI: 10.7566/JPSJ.90.032001</t>
  </si>
  <si>
    <t>Latency/overhead trade-offs for real-time use</t>
  </si>
  <si>
    <t>3.8.4; 3.8.1</t>
  </si>
  <si>
    <t>Córcoles, A.D., Takita, M., Inoue, K., et al.</t>
  </si>
  <si>
    <t>Exploiting dynamic quantum circuits in a quantum algorithm with superconducting qubits</t>
  </si>
  <si>
    <t>Physical Review Letters, 127, 100501</t>
  </si>
  <si>
    <t>Mid-circuit measurement + real-time classical feed-forward — key for tight hybrid control loops</t>
  </si>
  <si>
    <t>DOI: 10.1103/PhysRevLett.127.100501</t>
  </si>
  <si>
    <t>Feed-forward latency vs robot control rates</t>
  </si>
  <si>
    <t>Tang, W., Tomesh, T., Suchara, M., Larson, J., Martonosi, M.</t>
  </si>
  <si>
    <t>CutQC: using small quantum computers for large quantum circuit evaluations</t>
  </si>
  <si>
    <t>ASPLOS 2021 (ACM)</t>
  </si>
  <si>
    <t>Circuit cutting — splits large circuits across small QPUs + classical post-processing</t>
  </si>
  <si>
    <t>Open Access (arXiv:2012.02333)</t>
  </si>
  <si>
    <t>DOI: 10.1145/3445814.3446758</t>
  </si>
  <si>
    <t>Classical post-processing cost grows exponentially with cuts</t>
  </si>
  <si>
    <t>3.8.4; 3.8.3</t>
  </si>
  <si>
    <t>Ravi, G.S., Smith, K.N., Gokhale, P., Chong, F.T.</t>
  </si>
  <si>
    <t>Quantum computing in the cloud: analyzing job and machine characteristics</t>
  </si>
  <si>
    <t>IEEE IISWC 2021, pp. 39–50</t>
  </si>
  <si>
    <t>Measured IBM cloud queue/execution times over 2 years — hard evidence for the latency constraint</t>
  </si>
  <si>
    <t>DOI: 10.1109/IISWC53511.2021.00015</t>
  </si>
  <si>
    <t>Empirical measurement</t>
  </si>
  <si>
    <t>Cloud queue times are incompatible with closed-loop robot control</t>
  </si>
  <si>
    <t>1.1; 3.8.4; 4.1 F2</t>
  </si>
  <si>
    <t>Kjaergaard, M., Schwartz, M.E., Braumüller, J., et al.</t>
  </si>
  <si>
    <t>Superconducting qubits: current state of play</t>
  </si>
  <si>
    <t>Annual Review of Condensed Matter Physics, 11, 369–395</t>
  </si>
  <si>
    <t>Hardware state of play (coherence, gate times, cryogenics) — hardware-constraint evidence</t>
  </si>
  <si>
    <t>Open Access (arXiv:1905.13641)</t>
  </si>
  <si>
    <t>DOI: 10.1146/annurev-conmatphys-031119-050605</t>
  </si>
  <si>
    <t>Cryogenic SWaP rules out on-board QPUs</t>
  </si>
  <si>
    <t>Rice, J.E., Gujarati, T.P., Motta, M., Takeshita, T.Y., Lee, E., Latone, J.A., Garcia, J.M.</t>
  </si>
  <si>
    <t>Quantum computation of dominant products in lithium–sulfur batteries</t>
  </si>
  <si>
    <t>Journal of Chemical Physics, 154(13), 134115</t>
  </si>
  <si>
    <t>VQE simulation of Li–S battery molecules on IBM hardware — robot battery materials</t>
  </si>
  <si>
    <t>Open Access (arXiv:2001.01120)</t>
  </si>
  <si>
    <t>DOI: 10.1063/5.0044068</t>
  </si>
  <si>
    <t>Experimental / simulation</t>
  </si>
  <si>
    <t>Small molecules only</t>
  </si>
  <si>
    <t>Kim, I.H., Liu, Y.-H., Pallister, S., Pol, W., Roberts, S., Lee, E.</t>
  </si>
  <si>
    <t>Fault-tolerant resource estimate for quantum chemical simulations: case study on Li-ion battery electrolyte molecules</t>
  </si>
  <si>
    <t>Physical Review Research, 4(2), 023019</t>
  </si>
  <si>
    <t>Fault-tolerant resource estimate for Li-ion electrolyte simulation</t>
  </si>
  <si>
    <t>DOI: 10.1103/PhysRevResearch.4.023019</t>
  </si>
  <si>
    <t>Theoretical / resource estimate</t>
  </si>
  <si>
    <t>Requires fault-tolerant photonic hardware</t>
  </si>
  <si>
    <t>Reiher, M., Wiebe, N., Svore, K.M., Wecker, D., Troyer, M.</t>
  </si>
  <si>
    <t>Elucidating reaction mechanisms on quantum computers</t>
  </si>
  <si>
    <t>PNAS, 114(29), 7555–7560</t>
  </si>
  <si>
    <t>Landmark resource estimate (FeMoco) for useful quantum chemistry</t>
  </si>
  <si>
    <t>DOI: 10.1073/pnas.1619152114</t>
  </si>
  <si>
    <t>Indirect robotics link; fault tolerance needed</t>
  </si>
  <si>
    <t>Outline #</t>
  </si>
  <si>
    <t>Jacobs, R.A., Jordan, M.I., Nowlan, S.J., Hinton, G.E.</t>
  </si>
  <si>
    <t>Adaptive Mixtures of Local Experts</t>
  </si>
  <si>
    <t>Neural Computation 3(1):79–87</t>
  </si>
  <si>
    <t>Origin of the gated mixture-of-experts: a learned gate assigns inputs to specialist networks — the conceptual root of an orchestrator over learners</t>
  </si>
  <si>
    <t>Paywalled (MIT Press)</t>
  </si>
  <si>
    <t>https://doi.org/10.1162/neco.1991.3.1.79</t>
  </si>
  <si>
    <t>Gate is trained jointly with experts; no uncertainty signals or compute budget</t>
  </si>
  <si>
    <t>Bengio, E., Bacon, P.-L., Pineau, J., Precup, D.</t>
  </si>
  <si>
    <t>Conditional Computation in Neural Networks for Faster Models</t>
  </si>
  <si>
    <t>arXiv:1511.06297 (ICLR 2016 Workshop)</t>
  </si>
  <si>
    <t>Frames conditional computation as an RL policy that decides which units to activate under a compute cost — close analogue of a budgeted learned gate</t>
  </si>
  <si>
    <t>https://arxiv.org/abs/1511.06297</t>
  </si>
  <si>
    <t>Gating within one network on classification; not across heterogeneous robot learners</t>
  </si>
  <si>
    <t>Riquelme, C., Puigcerver, J., Mustafa, B., et al.</t>
  </si>
  <si>
    <t>Scaling Vision with Sparse Mixture of Experts (V-MoE)</t>
  </si>
  <si>
    <t>NeurIPS 2021</t>
  </si>
  <si>
    <t>Sparse MoE for vision with batch-prioritised routing that lets compute be traded off at inference — relevant to adaptive per-input compute on edge</t>
  </si>
  <si>
    <t>https://arxiv.org/abs/2106.05974</t>
  </si>
  <si>
    <t>Datacentre scale; routing is token-level, not modality-level</t>
  </si>
  <si>
    <t>Wang, Y., Zhang, Y., Huo, M., Tian, R., et al.</t>
  </si>
  <si>
    <t>Sparse Diffusion Policy: A Sparse, Reusable, and Flexible Policy for Robot Learning</t>
  </si>
  <si>
    <t>MoE inside a diffusion policy activates task-specific experts and adds new experts for new tasks — robot-side evidence for routed, modular learners and continual learning</t>
  </si>
  <si>
    <t>https://arxiv.org/abs/2407.01531</t>
  </si>
  <si>
    <t>Experts are within one imitation policy; routing not driven by calibrated uncertainty</t>
  </si>
  <si>
    <t>Reuss, M., et al.</t>
  </si>
  <si>
    <t>Efficient Diffusion Transformer Policies with Mixture of Expert Denoisers for Multitask Learning (MoDE)</t>
  </si>
  <si>
    <t>arXiv 2024 (ICLR 2025)</t>
  </si>
  <si>
    <t>Noise-conditioned expert routing gives SOTA on CALVIN/LIBERO with fewer inference FLOPs — shows routing cuts robot-policy compute</t>
  </si>
  <si>
    <t>Routing keyed on diffusion noise level, not task uncertainty or hardware budget</t>
  </si>
  <si>
    <t>Huang, R., Zhu, S., Du, Y., Zhao, H.</t>
  </si>
  <si>
    <t>MoE-Loco: Mixture of Experts for Multitask Locomotion</t>
  </si>
  <si>
    <t>IROS 2025, pp. 14218–14225</t>
  </si>
  <si>
    <t>MoE policy for multi-gait/multi-terrain locomotion; mitigates gradient conflict between tasks — evidence for expert routing on real legged hardware</t>
  </si>
  <si>
    <t>Check access</t>
  </si>
  <si>
    <t>Experts share one RL modality; no LLM orchestrator or cross-modality confidence</t>
  </si>
  <si>
    <t>(Authors to verify)</t>
  </si>
  <si>
    <t>Abstracting Robot Manipulation Skills via Mixture-of-Experts Diffusion Policies (SMP)</t>
  </si>
  <si>
    <t>arXiv:2601.21251</t>
  </si>
  <si>
    <t>Sticky routing activates a small task-relevant expert subset per step, giving higher success and lower inference cost on a real dual-arm robot — directly supports compute-budgeted routing</t>
  </si>
  <si>
    <t>https://arxiv.org/abs/2601.21251</t>
  </si>
  <si>
    <t>Single imitation modality; routing not uncertainty-gated</t>
  </si>
  <si>
    <t>From memory — confirm DOI before citing</t>
  </si>
  <si>
    <t>From memory — confirm arXiv ID before citing</t>
  </si>
  <si>
    <t>Venue web-verified; arXiv ID from memory — confirm</t>
  </si>
  <si>
    <t>Web-verified</t>
  </si>
  <si>
    <t>Verify full citation, authors and arXiv link</t>
  </si>
  <si>
    <t>Venue web-verified via citing paper; add DOI/URL</t>
  </si>
  <si>
    <t>Web-verified (arXiv); fill in author list</t>
  </si>
  <si>
    <t>Survey 3 — Adaptive Multi-Modality Learning (LLM orchestrator)</t>
  </si>
  <si>
    <t>Note: counts come from 'Final outline §' (Survey 1 col U), (Survey 2 col S) and (Survey 3 col S). A paper tagged to several sections counts in each. Change B3 to adjust the threshold.</t>
  </si>
  <si>
    <t>Target Journals &amp; Conferences — Surveys 1, 2, 3</t>
  </si>
  <si>
    <t>Survey 1 = Quantum Computing for Autonomous Robotics (SLR) · Survey 2 = Quantum Cognition for Robot Decision-Making · Survey 3 = Meta-Learning Orchestration on Resource-Constrained Robots. Track A = first-choice target, Track B = backup. Fit: High/Medium/Low. Indexing is from general knowledge — confirm on Clarivate Master Journal List and Scopus Sources before submitting.</t>
  </si>
  <si>
    <t>Publisher</t>
  </si>
  <si>
    <t>SCIE indexed?</t>
  </si>
  <si>
    <t>Scopus indexed?</t>
  </si>
  <si>
    <t>Track</t>
  </si>
  <si>
    <t>Survey 1 fit</t>
  </si>
  <si>
    <t>Survey 2 fit</t>
  </si>
  <si>
    <t>Survey 3 fit</t>
  </si>
  <si>
    <t>Match key (in Venue col)</t>
  </si>
  <si>
    <t>Survey 1 papers</t>
  </si>
  <si>
    <t>Survey 2 papers</t>
  </si>
  <si>
    <t>Survey 3 papers</t>
  </si>
  <si>
    <t>Notes</t>
  </si>
  <si>
    <t>Journal of Field Robotics</t>
  </si>
  <si>
    <t>Y</t>
  </si>
  <si>
    <t>A</t>
  </si>
  <si>
    <t>Field Robotics</t>
  </si>
  <si>
    <t>IEEE Transactions on Robotics (T-RO)</t>
  </si>
  <si>
    <t>IEEE</t>
  </si>
  <si>
    <t>Transactions on Robotics</t>
  </si>
  <si>
    <t>International Journal of Robotics Research (IJRR)</t>
  </si>
  <si>
    <t>SAGE</t>
  </si>
  <si>
    <t>Robotics Research</t>
  </si>
  <si>
    <t>Robotics and Computer-Integrated Manufacturing</t>
  </si>
  <si>
    <t>Elsevier</t>
  </si>
  <si>
    <t>Computer-Integrated Manufacturing</t>
  </si>
  <si>
    <t>Autonomous Robots</t>
  </si>
  <si>
    <t>Journal of Intelligent &amp; Robotic Systems</t>
  </si>
  <si>
    <t>B</t>
  </si>
  <si>
    <t>Intelligent &amp; Robotic Systems</t>
  </si>
  <si>
    <t>Robotica</t>
  </si>
  <si>
    <t>Cambridge Univ. Press</t>
  </si>
  <si>
    <t>Advanced Robotics</t>
  </si>
  <si>
    <t>Taylor &amp; Francis</t>
  </si>
  <si>
    <t>Intelligent Service Robotics</t>
  </si>
  <si>
    <t>Sadhana</t>
  </si>
  <si>
    <t>Springer (Indian Acad. Sci.)</t>
  </si>
  <si>
    <t>Scientific Reports</t>
  </si>
  <si>
    <t>Nature Portfolio</t>
  </si>
  <si>
    <t>Quantum Machine Intelligence</t>
  </si>
  <si>
    <t>Y (verify)</t>
  </si>
  <si>
    <t>ACM Computing Surveys</t>
  </si>
  <si>
    <t>ACM</t>
  </si>
  <si>
    <t>Computing Surveys</t>
  </si>
  <si>
    <t>Quantum Information Processing</t>
  </si>
  <si>
    <t>IEEE Transactions on Quantum Engineering</t>
  </si>
  <si>
    <t>Verify</t>
  </si>
  <si>
    <t>Quantum Engineering</t>
  </si>
  <si>
    <t>Robotics and Autonomous Systems</t>
  </si>
  <si>
    <t>IEEE Access</t>
  </si>
  <si>
    <t>IEEE Trans. on Cognitive and Developmental Systems</t>
  </si>
  <si>
    <t>Cognitive and Developmental</t>
  </si>
  <si>
    <t>Cognitive Systems Research</t>
  </si>
  <si>
    <t>Mathematical Psychology</t>
  </si>
  <si>
    <t>Frontiers in Robotics and AI</t>
  </si>
  <si>
    <t>Frontiers</t>
  </si>
  <si>
    <t>N (ESCI — verify)</t>
  </si>
  <si>
    <t>Frontiers in Robotics</t>
  </si>
  <si>
    <t>IEEE Robotics and Automation Letters (RA-L)</t>
  </si>
  <si>
    <t>Robotics and Automation Letters</t>
  </si>
  <si>
    <t>IEEE Trans. on Neural Networks and Learning Systems</t>
  </si>
  <si>
    <t>Neural Networks and Learning</t>
  </si>
  <si>
    <t>Artificial Intelligence Review</t>
  </si>
  <si>
    <t>Neural Networks</t>
  </si>
  <si>
    <t>IEEE ICRA</t>
  </si>
  <si>
    <t>N/A</t>
  </si>
  <si>
    <t>ICRA</t>
  </si>
  <si>
    <t>IEEE/RSJ IROS</t>
  </si>
  <si>
    <t>IROS</t>
  </si>
  <si>
    <t>Conference on Robot Learning (CoRL)</t>
  </si>
  <si>
    <t>PMLR</t>
  </si>
  <si>
    <t>CoRL</t>
  </si>
  <si>
    <t>Robotics: Science and Systems (RSS)</t>
  </si>
  <si>
    <t>RSS Foundation</t>
  </si>
  <si>
    <t>Robotics: Science and Systems</t>
  </si>
  <si>
    <t>IEEE Quantum Week (QCE)</t>
  </si>
  <si>
    <t>QCE</t>
  </si>
  <si>
    <t>ACM/IEEE HRI</t>
  </si>
  <si>
    <t>ACM/IEEE</t>
  </si>
  <si>
    <t>HRI</t>
  </si>
  <si>
    <t>CogSci (Cognitive Science Society)</t>
  </si>
  <si>
    <t>Cognitive Science Society</t>
  </si>
  <si>
    <t>CogSci</t>
  </si>
  <si>
    <t>NeurIPS Foundation</t>
  </si>
  <si>
    <t>From original list</t>
  </si>
  <si>
    <t>From original list; accepts surveys</t>
  </si>
  <si>
    <t>From original list; HRI / decision-making fit for S2</t>
  </si>
  <si>
    <t>From original list; broad engineering scope</t>
  </si>
  <si>
    <t>From original list; APC applies</t>
  </si>
  <si>
    <t>Added — published Yan et al. 2024 quantum-robotics review</t>
  </si>
  <si>
    <t>Added — top venue for survey papers</t>
  </si>
  <si>
    <t>Added</t>
  </si>
  <si>
    <t>Added — check SCIE vs ESCI</t>
  </si>
  <si>
    <t>Added — fast review, open access (APC)</t>
  </si>
  <si>
    <t>Added — core venue for quantum-probability cognition</t>
  </si>
  <si>
    <t>Added — open access (APC)</t>
  </si>
  <si>
    <t>Added — can present at ICRA/IROS</t>
  </si>
  <si>
    <t>Added — accepts long surveys</t>
  </si>
  <si>
    <t>Quang, et al. (incl. Ohzeki, M.)</t>
  </si>
  <si>
    <t>Quantum annealing-based route optimization for commercial AGV operating systems in large-scale logistics warehouses</t>
  </si>
  <si>
    <t>Scientific Reports, 15, 44047</t>
  </si>
  <si>
    <t>D-Wave routing for large AGV fleets; clustering keeps problems &lt;10,000 variables</t>
  </si>
  <si>
    <t>Verify DOI (Sci. Rep.)</t>
  </si>
  <si>
    <t>1,000-AGV result is simulated; no head-to-head win over classical at scale</t>
  </si>
  <si>
    <t>Largest-scale AGV annealing study to date — strengthens hardware evidence</t>
  </si>
  <si>
    <t>Added 2026-09-27 — found via web search; PDF NOT in folder; verify DOI/pages before citing</t>
  </si>
  <si>
    <t>Śmierzchalski, T., et al.</t>
  </si>
  <si>
    <t>Hybrid quantum-classical computation for automatic guided vehicles scheduling</t>
  </si>
  <si>
    <t>Scientific Reports, 14, 21809</t>
  </si>
  <si>
    <t>D-Wave Advantage hybrid solver on 21-AGV scheduling</t>
  </si>
  <si>
    <t>CPLEX remains competitive</t>
  </si>
  <si>
    <t>Leib, D., et al.</t>
  </si>
  <si>
    <t>An optimization case study for solving a transport robot scheduling problem on quantum-hybrid and quantum-inspired hardware</t>
  </si>
  <si>
    <t>Scientific Reports, 13</t>
  </si>
  <si>
    <t>BASF lab transport robots; D-Wave hybrid vs Fujitsu digital annealer vs Gurobi</t>
  </si>
  <si>
    <t>Gurobi 10–100× faster on small cases; digital annealer better on large ones</t>
  </si>
  <si>
    <t>§4, §8</t>
  </si>
  <si>
    <t>Key head-to-head quantum vs classical evidence</t>
  </si>
  <si>
    <t>Tang, et al.</t>
  </si>
  <si>
    <t>Quantum computing for several AGV scheduling models</t>
  </si>
  <si>
    <t>Scientific Reports, 14, 12205</t>
  </si>
  <si>
    <t>Coherent Ising machine applied to AGV scheduling models</t>
  </si>
  <si>
    <t>~92% time saving reported on small instances only</t>
  </si>
  <si>
    <t>CIM is not a gate-based QPU — classify carefully</t>
  </si>
  <si>
    <t>Salloum, et al.</t>
  </si>
  <si>
    <t>Quantum annealing for inverse kinematics in robotics</t>
  </si>
  <si>
    <t>Scientific Reports, 16, 4244</t>
  </si>
  <si>
    <t>D-Wave QUBO formulation of manipulator inverse kinematics</t>
  </si>
  <si>
    <t>Faster than classical QUBO solvers but not than standard IK solvers</t>
  </si>
  <si>
    <t>Schuetz, M.J.A., et al. (Amazon / BMW)</t>
  </si>
  <si>
    <t>Optimization of robot-trajectory planning with nature-inspired and hybrid quantum algorithms</t>
  </si>
  <si>
    <t>Physical Review Applied, 18, 054045</t>
  </si>
  <si>
    <t>Industrial robot trajectory planning with hybrid quantum algorithms</t>
  </si>
  <si>
    <t>Verify DOI (Phys. Rev. Applied)</t>
  </si>
  <si>
    <t>Classical genetic algorithm did most of the work</t>
  </si>
  <si>
    <t>Gerlach, T., et al.</t>
  </si>
  <si>
    <t>Hybrid quantum-classical multi-agent pathfinding</t>
  </si>
  <si>
    <t>ICML 2025</t>
  </si>
  <si>
    <t>Optimal MAPF with QUBO subproblem; tested on real quantum hardware</t>
  </si>
  <si>
    <t>Verify link (ICML proceedings)</t>
  </si>
  <si>
    <t>Scale limited by current hardware</t>
  </si>
  <si>
    <t>Innan, N., et al.</t>
  </si>
  <si>
    <t>QUAV: quantum-assisted path planning and optimization for UAV navigation</t>
  </si>
  <si>
    <t>IEEE QAI 2025</t>
  </si>
  <si>
    <t>QAOA drone path planning on IBM hardware (same group as Q-SpiRL)</t>
  </si>
  <si>
    <t>Open Access (arXiv:2508.21361)</t>
  </si>
  <si>
    <t>https://arxiv.org/abs/2508.21361</t>
  </si>
  <si>
    <t>Small graphs only</t>
  </si>
  <si>
    <t>Willmann, et al.</t>
  </si>
  <si>
    <t>Quantum annealing for robotic assembly line optimization</t>
  </si>
  <si>
    <t>Procedia CIRP, 134</t>
  </si>
  <si>
    <t>D-Wave assembly-line optimisation vs classical</t>
  </si>
  <si>
    <t>Verify DOI (Procedia CIRP)</t>
  </si>
  <si>
    <t>Negative result: classical 0.03 s vs quantum ~10,000 s</t>
  </si>
  <si>
    <t>Useful negative result for comparative analysis</t>
  </si>
  <si>
    <t>Quantum-assisted automatic path-planning for robotic quality inspection</t>
  </si>
  <si>
    <t>arXiv:2507.01462</t>
  </si>
  <si>
    <t>D-Wave vs classical on 5 industrial inspection cases</t>
  </si>
  <si>
    <t>https://arxiv.org/abs/2507.01462</t>
  </si>
  <si>
    <t>Preprint; not peer reviewed</t>
  </si>
  <si>
    <t>Gonzalez Villasmil, et al.</t>
  </si>
  <si>
    <t>Scalable multi-robot path planning via QUBO</t>
  </si>
  <si>
    <t>arXiv:2602.14799</t>
  </si>
  <si>
    <t>QUBO formulation for multi-robot path planning</t>
  </si>
  <si>
    <t>https://arxiv.org/abs/2602.14799</t>
  </si>
  <si>
    <t>Simulated only; classical planners still faster</t>
  </si>
  <si>
    <t>Nigatu, et al.</t>
  </si>
  <si>
    <t>Quantum machine learning and Grover's algorithm for quantum optimization of robotic manipulators</t>
  </si>
  <si>
    <t>IEEE Robotics and Automation Letters</t>
  </si>
  <si>
    <t>Quantum circuit + Grover search for manipulator poses</t>
  </si>
  <si>
    <t>https://arxiv.org/abs/2509.07216</t>
  </si>
  <si>
    <t>Up to 93× faster than Nelder-Mead — simulated only</t>
  </si>
  <si>
    <t>Lokossou, et al.</t>
  </si>
  <si>
    <t>Quantum deep reinforcement learning for humanoid robot navigation</t>
  </si>
  <si>
    <t>arXiv:2509.11388</t>
  </si>
  <si>
    <t>Quantum soft actor-critic on MuJoCo Walker2d</t>
  </si>
  <si>
    <t>https://arxiv.org/abs/2509.11388</t>
  </si>
  <si>
    <t>41 vs 1,250 parameters; simulated circuits; preprint</t>
  </si>
  <si>
    <t>Taghavi, S., Farnoosh, R.</t>
  </si>
  <si>
    <t>Quantum and neuromorphic computing for multi-agent RL in autonomous robotics</t>
  </si>
  <si>
    <t>Iranian Journal of Computer Science</t>
  </si>
  <si>
    <t>QAOA combined with neuromorphic multi-agent RL</t>
  </si>
  <si>
    <t>https://arxiv.org/abs/2408.03884</t>
  </si>
  <si>
    <t>Low-impact venue — include only if it meets inclusion criteria</t>
  </si>
  <si>
    <t>Quality flag</t>
  </si>
  <si>
    <t>Fazilat, M., Zioui, N.</t>
  </si>
  <si>
    <t>Quantum neural network-based inverse kinematics of a six-jointed industrial robotic arm</t>
  </si>
  <si>
    <t>Robotics and Autonomous Systems, 194</t>
  </si>
  <si>
    <t>Quantum-inspired network for IK on ABB IRB140</t>
  </si>
  <si>
    <t>Verify DOI (RAS)</t>
  </si>
  <si>
    <t>1.64 mm accuracy; quantum-inspired, not QPU</t>
  </si>
  <si>
    <t>Lawless, W.F.</t>
  </si>
  <si>
    <t>Quantum-like interdependence theory advances autonomous human–machine teams (A-HMTs)</t>
  </si>
  <si>
    <t>Entropy, 22, 1227</t>
  </si>
  <si>
    <t>Quantum-like interdependence model for human–machine teams</t>
  </si>
  <si>
    <t>Verify DOI (Entropy)</t>
  </si>
  <si>
    <t>Few robot experiments</t>
  </si>
  <si>
    <t>Relevant to Survey 2</t>
  </si>
  <si>
    <t>Follow-up on quantum-like interdependence for autonomous human–machine teams</t>
  </si>
  <si>
    <t>Entropy, 25, 1323</t>
  </si>
  <si>
    <t>Extends 2020 interdependence theory</t>
  </si>
  <si>
    <t>Verify title/DOI (Entropy)</t>
  </si>
  <si>
    <t>Confirm exact title before citing</t>
  </si>
  <si>
    <t>Entropy, 27, 152</t>
  </si>
  <si>
    <t>Quantum-probability model of human–AI decisions</t>
  </si>
  <si>
    <t>Human–AI rather than robot-specific</t>
  </si>
  <si>
    <t>Relevant to Survey 2; Frontiers Research Topic on quantum-like interdependence is a target venue</t>
  </si>
  <si>
    <t>Liu, H.-Y., et al.</t>
  </si>
  <si>
    <t>Drone-based entanglement distribution towards mobile quantum networks</t>
  </si>
  <si>
    <t>National Science Review</t>
  </si>
  <si>
    <t>Entanglement distribution via drones</t>
  </si>
  <si>
    <t>Open Access (PMC)</t>
  </si>
  <si>
    <t>Verify DOI (NSR)</t>
  </si>
  <si>
    <t>Communication, not robot control</t>
  </si>
  <si>
    <t>Drone- and vehicle-based quantum key distribution</t>
  </si>
  <si>
    <t>arXiv:2505.17587</t>
  </si>
  <si>
    <t>QKD links on drones and vehicles</t>
  </si>
  <si>
    <t>https://arxiv.org/abs/2505.17587</t>
  </si>
  <si>
    <t>NV-centre magnetometers for GPS-denied UAV control</t>
  </si>
  <si>
    <t>Research Square (preprint)</t>
  </si>
  <si>
    <t>NV-centre magnetometry for UAV navigation</t>
  </si>
  <si>
    <t>Open Access (preprint)</t>
  </si>
  <si>
    <t>Verify link (Research Square)</t>
  </si>
  <si>
    <t>Preprint — quality flag; Northrop Grumman quantum-compass drone test is industry news only</t>
  </si>
  <si>
    <t>Sarkar, et al.</t>
  </si>
  <si>
    <t>A novel hybrid quantum architecture for path planning in quantum-enabled autonomous mobile robots</t>
  </si>
  <si>
    <t>IEEE Transactions on Consumer Electronics</t>
  </si>
  <si>
    <t>Hybrid quantum architecture for AMR path planning</t>
  </si>
  <si>
    <t>Verify DOI (IEEE TCE)</t>
  </si>
  <si>
    <t>Check whether run on hardware</t>
  </si>
  <si>
    <t>Strong core paper</t>
  </si>
  <si>
    <t>Added 2026-09-27 — PDF already in Manuscript_Papers (see folder); not yet on Survey 1 list</t>
  </si>
  <si>
    <t>Rao, et al.</t>
  </si>
  <si>
    <t>A quantum computing approach for multi-robot coverage path planning</t>
  </si>
  <si>
    <t>(confirm venue)</t>
  </si>
  <si>
    <t>Quantum formulation of multi-robot coverage path planning</t>
  </si>
  <si>
    <t>Verify DOI</t>
  </si>
  <si>
    <t>Added 2026-09-27 — PDF already in Manuscript_Papers (saved under the Clark filename — rename); not yet on Survey 1 list</t>
  </si>
  <si>
    <t>Quantum machine learning for robotics: a comprehensive review</t>
  </si>
  <si>
    <t>(confirm venue; Zenodo update)</t>
  </si>
  <si>
    <t>Direct competitor survey — must cite and differentiate</t>
  </si>
  <si>
    <t>Verify link (Zenodo)</t>
  </si>
  <si>
    <t>Competing survey — state how ours differs</t>
  </si>
  <si>
    <t>Cite alongside Yan et al. 2024 as competing surveys</t>
  </si>
  <si>
    <t>Added 2026-09-27 — PDF already in Manuscript_Papers (jius_2026_13.pdf); not yet on Survey 1 list</t>
  </si>
  <si>
    <t>Fazilat, M., et al.</t>
  </si>
  <si>
    <t>A brief review on quantum-based control strategies for robotic systems</t>
  </si>
  <si>
    <t>ICAAID 2025</t>
  </si>
  <si>
    <t>Short review of quantum control strategies for robots</t>
  </si>
  <si>
    <t>Brief conference review</t>
  </si>
  <si>
    <t>Khoshnoud, F., et al.</t>
  </si>
  <si>
    <t>Quantum cooperative robotics and autonomy</t>
  </si>
  <si>
    <t>arXiv:2008.12230</t>
  </si>
  <si>
    <t>Quantum cooperative robotics concepts and autonomy</t>
  </si>
  <si>
    <t>https://arxiv.org/abs/2008.12230</t>
  </si>
  <si>
    <t>Largely conceptual</t>
  </si>
  <si>
    <t>§4, §7</t>
  </si>
  <si>
    <t>Added 2026-09-27 — PDF already in Manuscript_Papers (2008.12230v1.pdf); not yet on Survey 1 list</t>
  </si>
  <si>
    <t>Wang, X., Arcaini, P., Ali, S.</t>
  </si>
  <si>
    <t>Quantum machine learning-based test oracle for autonomous mobile robots</t>
  </si>
  <si>
    <t>QML test oracle for AMR software testing</t>
  </si>
  <si>
    <t>Testing, not control</t>
  </si>
  <si>
    <t>Mannone, M., et al.</t>
  </si>
  <si>
    <t>Categories, quantum computing, and swarm robotics</t>
  </si>
  <si>
    <t>Mathematics (MDPI)</t>
  </si>
  <si>
    <t>Category-theory framing of quantum swarm robotics</t>
  </si>
  <si>
    <t>Verify DOI (Mathematics)</t>
  </si>
  <si>
    <t>Precursor to Mannone 2023/2025</t>
  </si>
  <si>
    <t>Micro-nano robotic networks based on density matrices</t>
  </si>
  <si>
    <t>Density-matrix model of micro/nano robot networks</t>
  </si>
  <si>
    <t>Space searches with a quantum robot</t>
  </si>
  <si>
    <t>arXiv:quant-ph/0003006</t>
  </si>
  <si>
    <t>Quantum robot search of space; follows Benioff 1998</t>
  </si>
  <si>
    <t>https://arxiv.org/abs/quant-ph/0003006</t>
  </si>
  <si>
    <t>Historical</t>
  </si>
  <si>
    <t>Added 2026-09-27 — PDF already in Manuscript_Papers (0003006v2.pdf); not yet on Survey 1 list</t>
  </si>
  <si>
    <t>Gonçalves, C.P.</t>
  </si>
  <si>
    <t>Quantum robotics, neural networks and the quantum force interpretation</t>
  </si>
  <si>
    <t>Quantum robotics and quantum neural network interpretation</t>
  </si>
  <si>
    <t>Conceptual</t>
  </si>
  <si>
    <t>Added 2026-09-27 — PDF already in Manuscript_Papers (content.pdf); not yet on Survey 1 list</t>
  </si>
  <si>
    <t>Generative neuro-cognitive architecture using quantum algorithms</t>
  </si>
  <si>
    <t>Computers, Materials &amp; Continua (TSP)</t>
  </si>
  <si>
    <t>Quantum-algorithm cognitive architecture for autonomous agents</t>
  </si>
  <si>
    <t>Verify DOI (CMC)</t>
  </si>
  <si>
    <t>Relevant to both surveys</t>
  </si>
  <si>
    <t>Added 2026-09-27 — PDF already in Manuscript_Papers (TSP_CMC_65572.pdf); not yet on Survey 1 list</t>
  </si>
  <si>
    <t>Haldorai, A.</t>
  </si>
  <si>
    <t>Advancements and applications of quantum computing in robotics</t>
  </si>
  <si>
    <t>Journal of Computing and Natural Science (JCNS)</t>
  </si>
  <si>
    <t>Overview of quantum computing applications in robotics</t>
  </si>
  <si>
    <t>Low-impact venue — quality flag</t>
  </si>
  <si>
    <t>Raghuvanshi, et al.</t>
  </si>
  <si>
    <t>Quantum robots for teenagers</t>
  </si>
  <si>
    <t>(confirm venue/year)</t>
  </si>
  <si>
    <t>Educational introduction to quantum robots</t>
  </si>
  <si>
    <t>★☆☆☆☆</t>
  </si>
  <si>
    <t>Educational — likely exclude</t>
  </si>
  <si>
    <t>Confirm year and venue</t>
  </si>
  <si>
    <t>Kadowaki, T.</t>
  </si>
  <si>
    <t>Quantum computing and AI: perspectives on advanced automation</t>
  </si>
  <si>
    <t>Perspective on quantum computing and AI for automation</t>
  </si>
  <si>
    <t>Perspective piece</t>
  </si>
  <si>
    <t>Lukac &amp; Perkowski</t>
  </si>
  <si>
    <t>Quantum mechanical model of emotional robot behaviors</t>
  </si>
  <si>
    <t>IEEE ISMVL 2007</t>
  </si>
  <si>
    <t>Early quantum-mechanical model of robot emotional behaviour</t>
  </si>
  <si>
    <t>Emotion states modelled but not validated on physical robot decisions</t>
  </si>
  <si>
    <t>Added 2026-09-27 — user-verified list (write-ups Appendix D); confirm DOI before citing</t>
  </si>
  <si>
    <t>Hangl et al.</t>
  </si>
  <si>
    <t>Robotic playing for hierarchical complex skill learning</t>
  </si>
  <si>
    <t>IROS 2016</t>
  </si>
  <si>
    <t>Projective-simulation-based robot skill learning through autonomous play</t>
  </si>
  <si>
    <t>Scalability of PS skill hierarchies to open-ended tasks</t>
  </si>
  <si>
    <t>Yan et al.</t>
  </si>
  <si>
    <t>Quantum structure for modelling emotion space of robots</t>
  </si>
  <si>
    <t>Applied Sciences, 9(16)</t>
  </si>
  <si>
    <t>Quantum state-space representation of robot emotion space</t>
  </si>
  <si>
    <t>Mapping emotion states to decisions untested</t>
  </si>
  <si>
    <t>Skill learning by autonomous robotic playing using active learning and exploratory behavior composition</t>
  </si>
  <si>
    <t>Frontiers in Robotics and AI, 7</t>
  </si>
  <si>
    <t>Real-robot skill learning with PS agents, active learning and behaviour composition — key embodied precedent</t>
  </si>
  <si>
    <t>Quantum advantage not claimed; classical PS runs the robot</t>
  </si>
  <si>
    <t>READ FIRST (robotics angle)</t>
  </si>
  <si>
    <t>Yan, Iliyasu &amp; Hirota</t>
  </si>
  <si>
    <t>Emotion space modelling for social robots</t>
  </si>
  <si>
    <t>Engineering Applications of AI, 100</t>
  </si>
  <si>
    <t>Quantum-inspired emotion space for social robots</t>
  </si>
  <si>
    <t>User-study validation limited</t>
  </si>
  <si>
    <t>Emotion generation and transition of companion robots based on Plutchik's model and quantum circuit schemes</t>
  </si>
  <si>
    <t>Security and Communication Networks</t>
  </si>
  <si>
    <t>Quantum-circuit implementation of robot emotion generation/transition</t>
  </si>
  <si>
    <t>Circuit simulation</t>
  </si>
  <si>
    <t>Why quantum circuits rather than classical Markov transitions?</t>
  </si>
  <si>
    <t>§5, §15</t>
  </si>
  <si>
    <t>Ho &amp; Hoorn</t>
  </si>
  <si>
    <t>Quantum affective processes for multidimensional decision-making</t>
  </si>
  <si>
    <t>Scientific Reports, 12</t>
  </si>
  <si>
    <t>Quantum affective decision model for multidimensional choices — directly relevant to robot/agent affect-driven decisions</t>
  </si>
  <si>
    <t>Needs embodied validation</t>
  </si>
  <si>
    <t>Song et al.</t>
  </si>
  <si>
    <t>Research on quantum cognition in autonomous driving</t>
  </si>
  <si>
    <t>Applies quantum cognition to autonomous-driving decisions — closest application analogue to robot decision-making</t>
  </si>
  <si>
    <t>Simulation</t>
  </si>
  <si>
    <t>Benchmarks against classical planners limited</t>
  </si>
  <si>
    <t>§5, §11</t>
  </si>
  <si>
    <t>Mannone et al.</t>
  </si>
  <si>
    <t>Modeling robotic thinking and creativity: a classic–quantum dialogue</t>
  </si>
  <si>
    <t>Mathematics, 12(5)</t>
  </si>
  <si>
    <t>Classic vs quantum framing of robot thinking and creativity</t>
  </si>
  <si>
    <t>§5, §8</t>
  </si>
  <si>
    <t>Chella et al.</t>
  </si>
  <si>
    <t>An architecture for a quantum teleo-reactive robot</t>
  </si>
  <si>
    <t>Entropy, 28(7)</t>
  </si>
  <si>
    <t>Quantum teleo-reactive robot architecture — very recent robotics architecture precedent</t>
  </si>
  <si>
    <t>Architecture / simulation</t>
  </si>
  <si>
    <t>Hardware feasibility and real-time constraints</t>
  </si>
  <si>
    <t>§8, §15</t>
  </si>
  <si>
    <t>Human–AI Trust</t>
  </si>
  <si>
    <t>Ashtiani &amp; Azgomi</t>
  </si>
  <si>
    <t>A novel trust evolution algorithm based on a quantum-like model of computational trust</t>
  </si>
  <si>
    <t>Cognition, Technology &amp; Work, 21</t>
  </si>
  <si>
    <t>Quantum-like computational trust evolution</t>
  </si>
  <si>
    <t>Validation against human trust data</t>
  </si>
  <si>
    <t>§5, §14</t>
  </si>
  <si>
    <t>Pushparaj et al.</t>
  </si>
  <si>
    <t>A quantum-inspired model for human-automation trust in air traffic controllers (fMRI)</t>
  </si>
  <si>
    <t>Journal of Air Transport Management, 97</t>
  </si>
  <si>
    <t>Quantum-inspired trust model with fMRI evidence in ATC</t>
  </si>
  <si>
    <t>Human experiment (fMRI)</t>
  </si>
  <si>
    <t>Transfer from ATC to robot teammates</t>
  </si>
  <si>
    <t>§14, §16</t>
  </si>
  <si>
    <t>Humr, Canan &amp; Demir</t>
  </si>
  <si>
    <t>Temporal evolution of trust in AI-supported decision-making</t>
  </si>
  <si>
    <t>HFES Annual Meeting, 67(1)</t>
  </si>
  <si>
    <t>Quantum-model account of trust dynamics in AI-supported decisions</t>
  </si>
  <si>
    <t>Human experiment</t>
  </si>
  <si>
    <t>Short conference paper; limited sample</t>
  </si>
  <si>
    <t>Roeder et al.</t>
  </si>
  <si>
    <t>A quantum model of trust calibration in human–AI interactions</t>
  </si>
  <si>
    <t>Entropy, 25(9)</t>
  </si>
  <si>
    <t>Quantum model of trust calibration — core for human–robot trust and escalation</t>
  </si>
  <si>
    <t>Theoretical / human data</t>
  </si>
  <si>
    <t>Extension to embodied robots untested</t>
  </si>
  <si>
    <t>van der Meer et al.</t>
  </si>
  <si>
    <t>Modeling the quantum-like dynamics of human reliability ratings in human–AI interactions</t>
  </si>
  <si>
    <t>Quantum-like dynamics of reliability ratings in human–AI interaction</t>
  </si>
  <si>
    <t>Humr &amp; Canan</t>
  </si>
  <si>
    <t>System level intervention for AI-supported decision-making: a quantum cognition perspective</t>
  </si>
  <si>
    <t>CCIS 2659, Springer</t>
  </si>
  <si>
    <t>System-level intervention design for AI-supported decisions from a quantum-cognition view</t>
  </si>
  <si>
    <t>Proceedings chapter; empirical test pending</t>
  </si>
  <si>
    <t>Multi-Agent &amp; Human–Machine Teams</t>
  </si>
  <si>
    <t>Yukalov, Yukalova &amp; Sornette</t>
  </si>
  <si>
    <t>Information processing by networks of quantum decision makers</t>
  </si>
  <si>
    <t>Physica A, 492</t>
  </si>
  <si>
    <t>Networks of QDT agents exchanging information</t>
  </si>
  <si>
    <t>No embodied agents</t>
  </si>
  <si>
    <t>Ried, Müller &amp; Briegel</t>
  </si>
  <si>
    <t>Modelling collective motion based on the principle of agency</t>
  </si>
  <si>
    <t>PLoS ONE, 14(2)</t>
  </si>
  <si>
    <t>PS agents learning collective motion</t>
  </si>
  <si>
    <t>Simulation only</t>
  </si>
  <si>
    <t>López-Incera et al.</t>
  </si>
  <si>
    <t>Development of swarm behavior in artificial learning agents</t>
  </si>
  <si>
    <t>PLoS ONE, 15(12)</t>
  </si>
  <si>
    <t>Emergent swarm behaviour in PS learning agents</t>
  </si>
  <si>
    <t>Transfer to physical swarms</t>
  </si>
  <si>
    <t>Lawless</t>
  </si>
  <si>
    <t>Quantum-like interdependence theory advances autonomous human–machine teams</t>
  </si>
  <si>
    <t>Entropy, 22(11)</t>
  </si>
  <si>
    <t>Quantum-like interdependence theory for autonomous human–machine teams</t>
  </si>
  <si>
    <t>Role of collective information in networks of quantum operating agents</t>
  </si>
  <si>
    <t>Physica A, 598</t>
  </si>
  <si>
    <t>Collective information effects in networks of quantum agents</t>
  </si>
  <si>
    <t>Yukalov</t>
  </si>
  <si>
    <t>Quantum operation of affective artificial intelligence</t>
  </si>
  <si>
    <t>Laser Physics, 33</t>
  </si>
  <si>
    <t>QDT framework for affective AI agents</t>
  </si>
  <si>
    <t>No implementation</t>
  </si>
  <si>
    <t>§5, §7</t>
  </si>
  <si>
    <t>Lawless, Moskowitz &amp; Doctor</t>
  </si>
  <si>
    <t>A quantum-like model of interdependence for embodied human–machine teams</t>
  </si>
  <si>
    <t>Quantum-like interdependence for embodied human–machine teams</t>
  </si>
  <si>
    <t>Empirical team data limited</t>
  </si>
  <si>
    <t>Essalmi, Garrido &amp; Nashashibi</t>
  </si>
  <si>
    <t>Quantum game models for interaction-aware decision-making in automated driving</t>
  </si>
  <si>
    <t>arXiv / IEEE</t>
  </si>
  <si>
    <t>Quantum game models for interaction-aware automated driving</t>
  </si>
  <si>
    <t>Independent review could not reproduce collision results</t>
  </si>
  <si>
    <t>§7, §9</t>
  </si>
  <si>
    <t>Added 2026-09-27 — user-verified list (write-ups Appendix D); confirm DOI before citing. Cite with care: an independent review could not reproduce its collision results</t>
  </si>
  <si>
    <t>Lawless &amp; Moskowitz</t>
  </si>
  <si>
    <t>An entropy approach to interdependent human–machine teams</t>
  </si>
  <si>
    <t>Entropy, 27(2)</t>
  </si>
  <si>
    <t>Editorial framing entropy and interdependence in human–machine teams</t>
  </si>
  <si>
    <t>Editorial</t>
  </si>
  <si>
    <t>Editorial — not a research article</t>
  </si>
  <si>
    <t>Added 2026-09-27 — user-verified list (write-ups Appendix D); confirm DOI before citing. Editorial, not a research article</t>
  </si>
  <si>
    <t>Kong et al.</t>
  </si>
  <si>
    <t>Emergence of longitudinal queues in group navigation via projective simulation</t>
  </si>
  <si>
    <t>Biomimetics, 11(3)</t>
  </si>
  <si>
    <t>PS agents learning queueing in group navigation</t>
  </si>
  <si>
    <t>Physical robot validation pending</t>
  </si>
  <si>
    <t>Melnikov, Makmal &amp; Briegel</t>
  </si>
  <si>
    <t>Benchmarking projective simulation in navigation problems</t>
  </si>
  <si>
    <t>IEEE Access, 6</t>
  </si>
  <si>
    <t>Benchmarks PS against classical RL on navigation tasks</t>
  </si>
  <si>
    <t>Simulation benchmark</t>
  </si>
  <si>
    <t>Grid-world scale only</t>
  </si>
  <si>
    <t>§6, §9</t>
  </si>
  <si>
    <t>Boyajian et al.</t>
  </si>
  <si>
    <t>On the convergence of projective-simulation-based RL in Markov decision processes</t>
  </si>
  <si>
    <t>Quantum Machine Intelligence, 2</t>
  </si>
  <si>
    <t>Convergence proof for PS-based RL in MDPs</t>
  </si>
  <si>
    <t>Verify access</t>
  </si>
  <si>
    <t>Convergence rates vs classical RL</t>
  </si>
  <si>
    <t>Flamini et al.</t>
  </si>
  <si>
    <t>Photonic architecture for reinforcement learning</t>
  </si>
  <si>
    <t>New Journal of Physics, 22</t>
  </si>
  <si>
    <t>Photonic hardware architecture for quantum RL agents</t>
  </si>
  <si>
    <t>Theoretical / hardware design</t>
  </si>
  <si>
    <t>Hardware maturity</t>
  </si>
  <si>
    <t>§6, §15</t>
  </si>
  <si>
    <t>Saggio et al.</t>
  </si>
  <si>
    <t>Experimental quantum speed-up in reinforcement learning agents</t>
  </si>
  <si>
    <t>Nature, 591</t>
  </si>
  <si>
    <t>First experimental quantum speed-up for RL agents (photonic)</t>
  </si>
  <si>
    <t>Hardware experiment</t>
  </si>
  <si>
    <t>Toy task; relevance to robots limited</t>
  </si>
  <si>
    <t>Wei et al.</t>
  </si>
  <si>
    <t>Deep reinforcement learning with quantum-inspired experience replay</t>
  </si>
  <si>
    <t>IEEE Transactions on Cybernetics, 52(9)</t>
  </si>
  <si>
    <t>Quantum-inspired experience replay for deep RL — runs on classical hardware</t>
  </si>
  <si>
    <t>Gains vs prioritised replay</t>
  </si>
  <si>
    <t>Towards interpretable quantum machine learning via single-photon quantum walks</t>
  </si>
  <si>
    <t>Quantum Science and Technology, 9</t>
  </si>
  <si>
    <t>Interpretable QML via single-photon quantum walks</t>
  </si>
  <si>
    <t>Theoretical / hardware</t>
  </si>
  <si>
    <t>Scalability</t>
  </si>
  <si>
    <t>§6, §14</t>
  </si>
  <si>
    <t>Quantum-like Bayesian Networks</t>
  </si>
  <si>
    <t>Moreira et al.</t>
  </si>
  <si>
    <t>Quantum-like influence diagrams for decision-making</t>
  </si>
  <si>
    <t>Neural Networks, 132</t>
  </si>
  <si>
    <t>Quantum-like influence diagrams — directly usable for robot decisions with utilities</t>
  </si>
  <si>
    <t>Parameter (phase) fitting remains ad hoc</t>
  </si>
  <si>
    <t>Wichert, Moreira &amp; Bruza</t>
  </si>
  <si>
    <t>Balanced quantum-like Bayesian networks</t>
  </si>
  <si>
    <t>Entropy, 22(2)</t>
  </si>
  <si>
    <t>Principled setting of interference terms in QLBNs</t>
  </si>
  <si>
    <t>Generalisation beyond fitted datasets</t>
  </si>
  <si>
    <t>She, Han &amp; Liu</t>
  </si>
  <si>
    <t>Quantum-like Bayesian network and belief entropy for multi-attribute decision making</t>
  </si>
  <si>
    <t>Computers &amp; Industrial Engineering, 157</t>
  </si>
  <si>
    <t>QLBN + belief entropy for multi-attribute decisions</t>
  </si>
  <si>
    <t>Engineering case studies only</t>
  </si>
  <si>
    <t>Meghdadi et al.</t>
  </si>
  <si>
    <t>A quantum-like cognitive approach to modeling human biased selection behavior</t>
  </si>
  <si>
    <t>Quantum-like model of biased human selection</t>
  </si>
  <si>
    <t>Human data / model fit</t>
  </si>
  <si>
    <t>Model comparison with classical biases</t>
  </si>
  <si>
    <t>Gao et al.</t>
  </si>
  <si>
    <t>Quantum-like evidence networks decision-making model</t>
  </si>
  <si>
    <t>Engineering Applications of AI, 157</t>
  </si>
  <si>
    <t>Quantum-like evidence networks for decisions — sensor/evidence fusion angle</t>
  </si>
  <si>
    <t>Robotic fusion untested</t>
  </si>
  <si>
    <t>Gkoumas et al.</t>
  </si>
  <si>
    <t>Quantum cognitively motivated decision fusion for video sentiment analysis</t>
  </si>
  <si>
    <t>AAAI, 35</t>
  </si>
  <si>
    <t>Quantum-cognition decision fusion for multimodal sentiment</t>
  </si>
  <si>
    <t>Benchmark experiment</t>
  </si>
  <si>
    <t>Transfer to robot multimodal perception</t>
  </si>
  <si>
    <t>Liu et al.</t>
  </si>
  <si>
    <t>A survey of quantum-cognitively inspired sentiment analysis models</t>
  </si>
  <si>
    <t>ACM Computing Surveys, 56(1)</t>
  </si>
  <si>
    <t>Survey of quantum-cognition-inspired sentiment models</t>
  </si>
  <si>
    <t>NLP-focused</t>
  </si>
  <si>
    <t>§8, §18</t>
  </si>
  <si>
    <t>Uprety et al.</t>
  </si>
  <si>
    <t>Investigating context effects in similarity judgements in large language models</t>
  </si>
  <si>
    <t>Context/order effects in LLM similarity judgements</t>
  </si>
  <si>
    <t>LLM experiment</t>
  </si>
  <si>
    <t>§8, §9</t>
  </si>
  <si>
    <t>Zhang et al.</t>
  </si>
  <si>
    <t>Quantum-inspired semantic matching with the duality of density matrices</t>
  </si>
  <si>
    <t>Engineering Applications of AI, 140</t>
  </si>
  <si>
    <t>Density-matrix duality for semantic matching</t>
  </si>
  <si>
    <t>NLP-only</t>
  </si>
  <si>
    <t>Maksimovic &amp; Maksymov</t>
  </si>
  <si>
    <t>Quantum-cognitive neural networks: assessing confidence and uncertainty</t>
  </si>
  <si>
    <t>Big Data and Cognitive Computing, 9(1)</t>
  </si>
  <si>
    <t>Quantum-cognitive neural networks for confidence/uncertainty</t>
  </si>
  <si>
    <t>Calibration vs classical uncertainty methods</t>
  </si>
  <si>
    <t>Aerts et al.</t>
  </si>
  <si>
    <t>Identifying quantum structure in AI language</t>
  </si>
  <si>
    <t>Entropy, 28(6)</t>
  </si>
  <si>
    <t>Evidence of quantum structure in AI language models</t>
  </si>
  <si>
    <t>Interpretation of quantum structure</t>
  </si>
  <si>
    <t>Imannezhad, Pothos &amp; Wills</t>
  </si>
  <si>
    <t>Divergent patterns of probabilistic reasoning in humans and GPT-5</t>
  </si>
  <si>
    <t>Frontiers in Psychology, 17</t>
  </si>
  <si>
    <t>Compares human vs GPT-5 probabilistic reasoning fallacies</t>
  </si>
  <si>
    <t>Human + LLM experiment</t>
  </si>
  <si>
    <t>Model-version dependence</t>
  </si>
  <si>
    <t>Kang</t>
  </si>
  <si>
    <t>Auditing question-order effects in LLMs with the QQ equality</t>
  </si>
  <si>
    <t>Applies QQ equality to audit LLM order effects</t>
  </si>
  <si>
    <t>Kvam et al.</t>
  </si>
  <si>
    <t>Interference effects of choice on confidence</t>
  </si>
  <si>
    <t>PNAS, 112(34)</t>
  </si>
  <si>
    <t>Choice–confidence interference; quantum walk evidence</t>
  </si>
  <si>
    <t>Generalisation beyond perceptual tasks</t>
  </si>
  <si>
    <t>Wang &amp; Busemeyer</t>
  </si>
  <si>
    <t>Interference effects of categorization on decision making</t>
  </si>
  <si>
    <t>Cognition, 150</t>
  </si>
  <si>
    <t>Categorisation–decision interference effect</t>
  </si>
  <si>
    <t>Classical alternatives</t>
  </si>
  <si>
    <t>Yearsley &amp; Pothos</t>
  </si>
  <si>
    <t>Zeno's paradox in decision-making</t>
  </si>
  <si>
    <t>Proc. R. Soc. B, 283</t>
  </si>
  <si>
    <t>Quantum Zeno effect predictions for repeated judgement</t>
  </si>
  <si>
    <t>Effect size</t>
  </si>
  <si>
    <t>Dzhafarov &amp; Kujala</t>
  </si>
  <si>
    <t>Context–content systems of random variables: the Contextuality-by-Default theory</t>
  </si>
  <si>
    <t>Journal of Mathematical Psychology, 74</t>
  </si>
  <si>
    <t>Contextuality-by-Default framework — rigorous contextuality test</t>
  </si>
  <si>
    <t>Technical barrier for roboticists</t>
  </si>
  <si>
    <t>§4, §9</t>
  </si>
  <si>
    <t>Yearsley</t>
  </si>
  <si>
    <t>Advanced tools and concepts for quantum cognition: a tutorial</t>
  </si>
  <si>
    <t>Journal of Mathematical Psychology, 78</t>
  </si>
  <si>
    <t>Advanced tutorial (POVMs, open systems)</t>
  </si>
  <si>
    <t>Pothos et al.</t>
  </si>
  <si>
    <t>The rational status of quantum cognition</t>
  </si>
  <si>
    <t>Journal of Experimental Psychology: General, 146(7)</t>
  </si>
  <si>
    <t>Argues for rationality of quantum-probability reasoning</t>
  </si>
  <si>
    <t>Normative debate</t>
  </si>
  <si>
    <t>§4, §13</t>
  </si>
  <si>
    <t>Trueblood, Yearsley &amp; Pothos</t>
  </si>
  <si>
    <t>A quantum probability framework for human probabilistic inference</t>
  </si>
  <si>
    <t>Journal of Experimental Psychology: General, 146(9)</t>
  </si>
  <si>
    <t>QP framework for human probabilistic inference</t>
  </si>
  <si>
    <t>Parameter flexibility</t>
  </si>
  <si>
    <t>Broekaert et al.</t>
  </si>
  <si>
    <t>Quantum-like dynamics applied to cognition: a consideration of available options</t>
  </si>
  <si>
    <t>Phil. Trans. R. Soc. A, 375</t>
  </si>
  <si>
    <t>Survey of quantum-like dynamic modelling options</t>
  </si>
  <si>
    <t>Busemeyer &amp; Wang</t>
  </si>
  <si>
    <t>Hilbert space multidimensional theory</t>
  </si>
  <si>
    <t>Psychological Review, 125(4)</t>
  </si>
  <si>
    <t>HSM theory for multidimensional contingency data</t>
  </si>
  <si>
    <t>Theoretical / model fit</t>
  </si>
  <si>
    <t>Model dimensionality choice</t>
  </si>
  <si>
    <t>Cervantes &amp; Dzhafarov</t>
  </si>
  <si>
    <t>Snow Queen is evil and beautiful: experimental evidence for probabilistic contextuality</t>
  </si>
  <si>
    <t>Decision, 5(3)</t>
  </si>
  <si>
    <t>First experimental evidence of true contextuality in human judgement</t>
  </si>
  <si>
    <t>Narrow paradigm</t>
  </si>
  <si>
    <t>Basieva et al.</t>
  </si>
  <si>
    <t>True contextuality beats direct influences in human decision making</t>
  </si>
  <si>
    <t>Journal of Experimental Psychology: General, 148(11)</t>
  </si>
  <si>
    <t>Contextuality beyond direct influences in decisions</t>
  </si>
  <si>
    <t>Replication</t>
  </si>
  <si>
    <t>Ozawa &amp; Khrennikov</t>
  </si>
  <si>
    <t>Application of theory of quantum instruments to psychology</t>
  </si>
  <si>
    <t>Entropy, 22(1)</t>
  </si>
  <si>
    <t>Quantum instruments for psychological measurement</t>
  </si>
  <si>
    <t>Formal; limited data</t>
  </si>
  <si>
    <t>Evolutionary processes in quantum decision theory</t>
  </si>
  <si>
    <t>Entropy, 22(6)</t>
  </si>
  <si>
    <t>Evolutionary dynamics in QDT</t>
  </si>
  <si>
    <t>Epping et al.</t>
  </si>
  <si>
    <t>Open system model of choice and response time</t>
  </si>
  <si>
    <t>Journal of Choice Modelling, 49</t>
  </si>
  <si>
    <t>Open-system quantum model of choice and RT</t>
  </si>
  <si>
    <t>Computational cost</t>
  </si>
  <si>
    <t>Khrennikov</t>
  </si>
  <si>
    <t>Open systems, quantum probability, and logic for quantum-like modeling in biology, cognition, and decision-making</t>
  </si>
  <si>
    <t>Entropy, 25(6)</t>
  </si>
  <si>
    <t>Open-systems quantum-like modelling across biology and cognition</t>
  </si>
  <si>
    <t>Waddup et al.</t>
  </si>
  <si>
    <t>Temporal Bell inequalities in cognition</t>
  </si>
  <si>
    <t>Psychonomic Bulletin &amp; Review, 30(5)</t>
  </si>
  <si>
    <t>Temporal Bell inequality tests in cognition</t>
  </si>
  <si>
    <t>Interpretation of violations</t>
  </si>
  <si>
    <t>Huang et al.</t>
  </si>
  <si>
    <t>Bridging the gap between subjective probability and probability judgments: the quantum sequential sampler</t>
  </si>
  <si>
    <t>Psychological Review, 132(4)</t>
  </si>
  <si>
    <t>Quantum sequential sampler linking subjective probability and judgements</t>
  </si>
  <si>
    <t>Robotic implementation</t>
  </si>
  <si>
    <t>Critiques &amp; Classical Rivals</t>
  </si>
  <si>
    <t>Costello &amp; Watts</t>
  </si>
  <si>
    <t>Surprisingly rational: probability theory plus noise explains biases in judgment</t>
  </si>
  <si>
    <t>Psychological Review, 121(3)</t>
  </si>
  <si>
    <t>Probability-plus-noise — main classical rival for fallacies</t>
  </si>
  <si>
    <t>Head-to-head with QP models</t>
  </si>
  <si>
    <t>§9, §12</t>
  </si>
  <si>
    <t>Dzhafarov, Zhang &amp; Kujala</t>
  </si>
  <si>
    <t>Is there contextuality in behavioural and social systems?</t>
  </si>
  <si>
    <t>Phil. Trans. R. Soc. A, 374</t>
  </si>
  <si>
    <t>Finds little true contextuality in many behavioural datasets</t>
  </si>
  <si>
    <t>Re-analysis</t>
  </si>
  <si>
    <t>Challenges quantum claims</t>
  </si>
  <si>
    <t>Is there a problem with quantum models of psychological measurements?</t>
  </si>
  <si>
    <t>PLoS ONE, 12(11)</t>
  </si>
  <si>
    <t>Response to measurement critiques of quantum models</t>
  </si>
  <si>
    <t>§12, §13</t>
  </si>
  <si>
    <t>Kellen, Singmann &amp; Batchelder</t>
  </si>
  <si>
    <t>Classic-probability accounts of mirrored (quantum-like) order effects</t>
  </si>
  <si>
    <t>Decision, 5(4)</t>
  </si>
  <si>
    <t>Classical accounts of mirrored order effects</t>
  </si>
  <si>
    <t>Challenges uniqueness of QQ evidence</t>
  </si>
  <si>
    <t>Invariants in probabilistic reasoning</t>
  </si>
  <si>
    <t>Cognitive Psychology, 100</t>
  </si>
  <si>
    <t>Probability-plus-noise invariants vs QP</t>
  </si>
  <si>
    <t>Busemeyer, Fakhari &amp; Kvam</t>
  </si>
  <si>
    <t>Neural implementation of operations used in quantum cognition</t>
  </si>
  <si>
    <t>Progress in Biophysics and Molecular Biology, 130</t>
  </si>
  <si>
    <t>Neural-network implementation of quantum cognition operations</t>
  </si>
  <si>
    <t>No neural data</t>
  </si>
  <si>
    <t>Khrennikov et al.</t>
  </si>
  <si>
    <t>Quantum probability in decision making from quantum information representation of neuronal states</t>
  </si>
  <si>
    <t>Scientific Reports, 8</t>
  </si>
  <si>
    <t>Quantum-information representation of neuronal states</t>
  </si>
  <si>
    <t>Speculative</t>
  </si>
  <si>
    <t>Coupling quantum-like cognition with the neuronal networks within generalized probability theory</t>
  </si>
  <si>
    <t>Journal of Mathematical Psychology, 125</t>
  </si>
  <si>
    <t>Generalised probability theory linking neuronal networks and QL cognition</t>
  </si>
  <si>
    <t>Khrennikov, Iriki &amp; Basieva</t>
  </si>
  <si>
    <t>Constructing a bridge between oscillatory neuronal networks and quantum-like cognition</t>
  </si>
  <si>
    <t>BioSystems, 257</t>
  </si>
  <si>
    <t>Oscillatory neuronal networks as substrate for QL cognition</t>
  </si>
  <si>
    <t>Reviews &amp; Surveys</t>
  </si>
  <si>
    <t>Quantum probability for modeling cognition, decision making, and AI</t>
  </si>
  <si>
    <t>Springer PROMS, 390</t>
  </si>
  <si>
    <t>Proceedings volume spanning QP cognition and AI</t>
  </si>
  <si>
    <t>Review / proceedings</t>
  </si>
  <si>
    <t>An overview of the quantum cognition research program</t>
  </si>
  <si>
    <t>Psychonomic Bulletin &amp; Review, 32</t>
  </si>
  <si>
    <t>Most important new review of the field — position the survey against this</t>
  </si>
  <si>
    <t>READ FIRST — most important new review to position the survey against</t>
  </si>
  <si>
    <t>Quantum-like cognition and AI toward the convergence of natural and artificial intelligence</t>
  </si>
  <si>
    <t>Discover AI, 6</t>
  </si>
  <si>
    <t>Review of QL cognition–AI convergence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</si>
</sst>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1" fillId="0" borderId="0" xfId="1" applyAlignment="1" applyProtection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0" xfId="0" applyFill="1"/>
    <xf numFmtId="0" fontId="0" fillId="5" borderId="0" xfId="0" applyFill="1"/>
    <xf numFmtId="0" fontId="8" fillId="0" borderId="0" xfId="0" applyFont="1"/>
    <xf numFmtId="0" fontId="0" fillId="6" borderId="0" xfId="0" applyFill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0" fillId="7" borderId="0" xfId="0" applyFill="1"/>
    <xf numFmtId="0" fontId="8" fillId="4" borderId="0" xfId="0" applyFont="1" applyFill="1"/>
    <xf numFmtId="0" fontId="0" fillId="9" borderId="0" xfId="0" applyFill="1"/>
    <xf numFmtId="0" fontId="9" fillId="0" borderId="0" xfId="0" applyFont="1"/>
    <xf numFmtId="0" fontId="0" fillId="0" borderId="0" xfId="0" quotePrefix="1" applyAlignment="1">
      <alignment wrapText="1"/>
    </xf>
    <xf numFmtId="0" fontId="2" fillId="8" borderId="0" xfId="0" applyFont="1" applyFill="1" applyAlignment="1">
      <alignment vertical="center"/>
    </xf>
    <xf numFmtId="0" fontId="7" fillId="2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0" fillId="10" borderId="0" xfId="0" applyFont="1" applyFill="1"/>
    <xf numFmtId="0" fontId="2" fillId="0" borderId="0" xfId="0" applyFont="1"/>
    <xf numFmtId="0" fontId="7" fillId="2" borderId="1" xfId="0" applyFont="1" applyFill="1" applyBorder="1"/>
    <xf numFmtId="0" fontId="0" fillId="0" borderId="1" xfId="0" applyBorder="1" applyAlignment="1">
      <alignment vertical="top"/>
    </xf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7" fillId="2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12" fillId="8" borderId="0" xfId="0" applyFont="1" applyFill="1"/>
    <xf numFmtId="0" fontId="13" fillId="0" borderId="0" xfId="0" applyFont="1" applyAlignment="1">
      <alignment vertical="top"/>
    </xf>
    <xf numFmtId="0" fontId="12" fillId="8" borderId="0" xfId="0" applyFont="1" applyFill="1" applyAlignment="1">
      <alignment wrapText="1"/>
    </xf>
    <xf numFmtId="0" fontId="13" fillId="0" borderId="0" xfId="0" applyFont="1" applyAlignment="1">
      <alignment vertical="top" wrapText="1"/>
    </xf>
    <xf numFmtId="0" fontId="12" fillId="8" borderId="0" xfId="0" applyFont="1" applyFill="1" applyAlignment="1">
      <alignment horizontal="center"/>
    </xf>
    <xf numFmtId="0" fontId="13" fillId="0" borderId="0" xfId="0" applyFont="1" applyAlignment="1">
      <alignment horizontal="center" vertical="top"/>
    </xf>
    <xf numFmtId="0" fontId="10" fillId="12" borderId="0" xfId="0" applyFont="1" applyFill="1"/>
    <xf numFmtId="0" fontId="0" fillId="12" borderId="0" xfId="0" applyFill="1"/>
    <xf numFmtId="0" fontId="14" fillId="15" borderId="0" xfId="0" applyFont="1" applyFill="1"/>
    <xf numFmtId="0" fontId="7" fillId="16" borderId="0" xfId="0" applyFont="1" applyFill="1"/>
    <xf numFmtId="49" fontId="0" fillId="0" borderId="0" xfId="0" applyNumberFormat="1"/>
    <xf numFmtId="49" fontId="0" fillId="12" borderId="0" xfId="0" applyNumberFormat="1" applyFill="1"/>
    <xf numFmtId="0" fontId="16" fillId="0" borderId="0" xfId="0" applyFont="1"/>
    <xf numFmtId="0" fontId="2" fillId="8" borderId="4" xfId="0" applyFont="1" applyFill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5" fillId="0" borderId="0" xfId="0" applyFont="1"/>
    <xf numFmtId="0" fontId="10" fillId="17" borderId="0" xfId="0" applyFont="1" applyFill="1"/>
    <xf numFmtId="0" fontId="0" fillId="17" borderId="0" xfId="0" applyFill="1"/>
    <xf numFmtId="49" fontId="0" fillId="17" borderId="0" xfId="0" applyNumberFormat="1" applyFill="1"/>
    <xf numFmtId="0" fontId="2" fillId="14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0" borderId="0" xfId="0" applyFont="1"/>
    <xf numFmtId="0" fontId="0" fillId="0" borderId="0" xfId="0"/>
    <xf numFmtId="0" fontId="6" fillId="0" borderId="0" xfId="0" applyFont="1"/>
    <xf numFmtId="0" fontId="2" fillId="11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7" fillId="0" borderId="0" xfId="0" applyFont="1" applyAlignment="1">
      <alignment wrapText="1"/>
    </xf>
    <xf numFmtId="0" fontId="17" fillId="0" borderId="0" xfId="0" applyFont="1"/>
  </cellXfs>
  <cellStyles count="2">
    <cellStyle name="Hyperlink" xfId="1" builtinId="8"/>
    <cellStyle name="Normal" xfId="0" builtinId="0"/>
  </cellStyles>
  <dxfs count="16"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808080"/>
      </font>
      <fill>
        <patternFill patternType="solid">
          <fgColor indexed="64"/>
          <bgColor rgb="FFEDEDED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808080"/>
      </font>
      <fill>
        <patternFill patternType="solid">
          <fgColor indexed="64"/>
          <bgColor rgb="FFEDEDED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shwanth guru" id="{C2F1C83F-2784-4736-8B52-50CC768CDD0D}" userId="4d80ee16f2bc6fd9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4T16:43:35.76" personId="{C2F1C83F-2784-4736-8B52-50CC768CDD0D}" id="{05089205-B259-495C-AD9C-CFF56AFCDEBC}">
    <text>Source: references.csv shared by the Word manuscript agent (Quantum_Robotics_Magazine_WITH_CITATIONS.docx), 62 refs. Manuscript bibliography; not run by Claude. Full details on Data Sources tab. Added Mon Sep 14 2026 22:13:35 GMT+0530 (India Standard Time)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7" dT="2026-09-25T15:22:56.47" personId="{C2F1C83F-2784-4736-8B52-50CC768CDD0D}" id="{D1831949-CDDB-4F29-BA06-749D6D2CA7B6}">
    <text>Source: https://ieeexplore.ieee.org/abstract/document/8793768/ (web search, 2026-09-25)</text>
  </threadedComment>
  <threadedComment ref="D68" dT="2026-09-25T15:22:56.47" personId="{C2F1C83F-2784-4736-8B52-50CC768CDD0D}" id="{9BF7AE42-9ACB-4F84-9740-885A4A50775B}">
    <text>Source: https://arxiv.org/html/2502.00077v1 (web search, 2026-09-25)</text>
  </threadedComment>
  <threadedComment ref="D69" dT="2026-09-25T15:22:56.47" personId="{C2F1C83F-2784-4736-8B52-50CC768CDD0D}" id="{3CA1EAAD-26A7-4554-B9D4-E2D54F5838C3}">
    <text>Source: https://www.sciencedirect.com/science/article/pii/S0921889023000015 (web search, 2026-09-25)</text>
  </threadedComment>
  <threadedComment ref="D70" dT="2026-09-25T15:22:56.48" personId="{C2F1C83F-2784-4736-8B52-50CC768CDD0D}" id="{D00DE606-133F-4166-A95A-DE5AFE646FF9}">
    <text>Source: https://www.icar.cnr.it/en/laboratori-icar/quantum-intelligence-lab-2-2/ (web search, 2026-09-25)</text>
  </threadedComment>
  <threadedComment ref="D71" dT="2026-09-25T15:22:56.48" personId="{C2F1C83F-2784-4736-8B52-50CC768CDD0D}" id="{54C4D712-521B-4F26-A387-447CD1DB43DB}">
    <text>Source: https://arxiv.org/abs/2502.00077 (web search, 2026-09-25)</text>
  </threadedComment>
  <threadedComment ref="D72" dT="2026-09-25T15:22:56.49" personId="{C2F1C83F-2784-4736-8B52-50CC768CDD0D}" id="{82C79C91-350D-4F62-AB89-AD7B7CC5DA61}">
    <text>Source: https://www.frontiersin.org/journals/computer-science/articles/10.3389/fcomp.2019.00009/full (web search, 2026-09-25)</text>
  </threadedComment>
  <threadedComment ref="D73" dT="2026-09-25T15:22:56.49" personId="{C2F1C83F-2784-4736-8B52-50CC768CDD0D}" id="{914DE44B-75FA-42C7-92EE-59BD5BD624B4}">
    <text>Source: https://link.springer.com/chapter/10.1007/978-981-96-8998-9_15 (web search, 2026-09-25)</text>
  </threadedComment>
  <threadedComment ref="D74" dT="2026-09-25T15:22:56.49" personId="{C2F1C83F-2784-4736-8B52-50CC768CDD0D}" id="{8F671CF0-8AE8-4575-9ACD-A9AFEC8B6D8D}">
    <text>Source: https://arxiv.org/pdf/2608.06803 (web search, 2026-09-25)</text>
  </threadedComment>
  <threadedComment ref="D75" dT="2026-09-25T15:22:56.50" personId="{C2F1C83F-2784-4736-8B52-50CC768CDD0D}" id="{CAE6FC7D-69FA-42E1-BEFF-3FBC492C8EC4}">
    <text>Source: domain knowledge — not web-verified; confirm DOI</text>
  </threadedComment>
  <threadedComment ref="D76" dT="2026-09-25T15:22:56.50" personId="{C2F1C83F-2784-4736-8B52-50CC768CDD0D}" id="{165B2A45-20AE-446B-A3D5-E57C445AA543}">
    <text>Source: https://arxiv.org/abs/2211.03464 (web search, 2026-09-25)</text>
  </threadedComment>
  <threadedComment ref="D77" dT="2026-09-25T15:22:56.50" personId="{C2F1C83F-2784-4736-8B52-50CC768CDD0D}" id="{F5AB9AD7-45AF-4FCA-970D-A4BC4FE23D66}">
    <text>Source: https://www.mendeley.com/catalogue/e3cbe29b-b3a0-3783-a70f-cd3de5aa951c/ (web search, 2026-09-25)</text>
  </threadedComment>
  <threadedComment ref="D78" dT="2026-09-25T15:22:56.50" personId="{C2F1C83F-2784-4736-8B52-50CC768CDD0D}" id="{28C22B55-9168-4AAF-B8BC-1DE321E134CB}">
    <text>Source: https://arxiv.org/pdf/2511.13408 (web search, 2026-09-25)</text>
  </threadedComment>
  <threadedComment ref="D79" dT="2026-09-25T15:22:56.51" personId="{C2F1C83F-2784-4736-8B52-50CC768CDD0D}" id="{03EC124C-D820-4325-AE79-0F840542DDA2}">
    <text>Source: https://research.google/pubs/quantum-error-mitigation/ (web search, 2026-09-25)</text>
  </threadedComment>
  <threadedComment ref="D80" dT="2026-09-25T15:22:56.51" personId="{C2F1C83F-2784-4736-8B52-50CC768CDD0D}" id="{5B5F2FA0-C7DC-47E9-BF91-91FD0B2109BF}">
    <text>Source: https://arxiv.org/pdf/2309.17368 (web search, 2026-09-25)</text>
  </threadedComment>
  <threadedComment ref="D81" dT="2026-09-25T15:22:56.51" personId="{C2F1C83F-2784-4736-8B52-50CC768CDD0D}" id="{983A1184-0456-40D0-AAD7-A372AB44F30D}">
    <text>Source: domain knowledge — not web-verified; confirm DOI</text>
  </threadedComment>
  <threadedComment ref="D82" dT="2026-09-25T15:22:56.52" personId="{C2F1C83F-2784-4736-8B52-50CC768CDD0D}" id="{337F97E7-D77C-4178-A6AA-EBDB3B4DDBFA}">
    <text>Source: https://arxiv.org/pdf/2504.08167 (web search, 2026-09-25)</text>
  </threadedComment>
  <threadedComment ref="D83" dT="2026-09-25T15:22:56.52" personId="{C2F1C83F-2784-4736-8B52-50CC768CDD0D}" id="{7B57BFC2-B9C5-4345-90AC-F44A98193ADD}">
    <text>Source: https://www.frontiersin.org/journals/physics/articles/10.3389/fphy.2022.994459/full (web search, 2026-09-25)</text>
  </threadedComment>
  <threadedComment ref="D84" dT="2026-09-25T15:22:56.52" personId="{C2F1C83F-2784-4736-8B52-50CC768CDD0D}" id="{E89EEA85-0F03-4962-9BCE-410D3CB33BFC}">
    <text>Source: https://www.frontiersin.org/journals/physics/articles/10.3389/fphy.2022.994459/full (web search, 2026-09-25)</text>
  </threadedComment>
  <threadedComment ref="D85" dT="2026-09-25T15:22:56.53" personId="{C2F1C83F-2784-4736-8B52-50CC768CDD0D}" id="{B3D95215-E681-450E-86D9-519E10613EC2}">
    <text>Source: domain knowledge — not web-verified; confirm DOI</text>
  </threadedComment>
  <threadedComment ref="D86" dT="2026-09-25T15:22:56.53" personId="{C2F1C83F-2784-4736-8B52-50CC768CDD0D}" id="{A7342730-EB5D-4258-AC55-C0B7834ED330}">
    <text>Source: domain knowledge — not web-verified; confirm DOI</text>
  </threadedComment>
  <threadedComment ref="D87" dT="2026-09-25T15:22:56.54" personId="{C2F1C83F-2784-4736-8B52-50CC768CDD0D}" id="{ACC5464D-0F11-4815-AB6C-140A93F56867}">
    <text>Source: domain knowledge — not web-verified; confirm DOI</text>
  </threadedComment>
  <threadedComment ref="D88" dT="2026-09-25T15:22:56.54" personId="{C2F1C83F-2784-4736-8B52-50CC768CDD0D}" id="{10215208-0AB2-4162-8115-74C1FC42D013}">
    <text>Source: domain knowledge — not web-verified; confirm DOI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8" dT="2026-09-25T15:24:01.81" personId="{C2F1C83F-2784-4736-8B52-50CC768CDD0D}" id="{046EC7D2-0602-41FA-ACF8-577A66709BAD}">
    <text>Source: https://www.frontiersin.org/journals/psychology/articles/10.3389/fpsyg.2016.00011/full (web search, 2026-09-25)</text>
  </threadedComment>
  <threadedComment ref="D69" dT="2026-09-25T15:24:01.82" personId="{C2F1C83F-2784-4736-8B52-50CC768CDD0D}" id="{925F4C43-B4BE-4D73-A8BC-DB99AFFD6AE3}">
    <text>Source: https://arxiv.org/pdf/2006.02256 (web search, 2026-09-25)</text>
  </threadedComment>
  <threadedComment ref="D70" dT="2026-09-25T15:24:01.83" personId="{C2F1C83F-2784-4736-8B52-50CC768CDD0D}" id="{7F6850AA-4DF0-427F-B835-2BFB80F28FDA}">
    <text>Source: https://arxiv.org/pdf/2006.02256 (web search, 2026-09-25)</text>
  </threadedComment>
  <threadedComment ref="D71" dT="2026-09-25T15:24:01.83" personId="{C2F1C83F-2784-4736-8B52-50CC768CDD0D}" id="{8042BA95-B683-473B-A2EF-39D52B98FE71}">
    <text>Source: https://pubmed.ncbi.nlm.nih.gov/40003149 (web search, 2026-09-25)</text>
  </threadedComment>
  <threadedComment ref="D72" dT="2026-09-25T15:24:01.83" personId="{C2F1C83F-2784-4736-8B52-50CC768CDD0D}" id="{3352FBEF-DAF1-4B31-BA4E-4B3ED70F129A}">
    <text>Source: https://arxiv.org/pdf/2205.12378 (web search, 2026-09-25)</text>
  </threadedComment>
  <threadedComment ref="D73" dT="2026-09-25T15:24:01.84" personId="{C2F1C83F-2784-4736-8B52-50CC768CDD0D}" id="{4C9A3E58-E68B-4EB3-8AE8-EC71078E724F}">
    <text>Source: https://arxiv.org/pdf/2205.12378 (web search, 2026-09-25)</text>
  </threadedComment>
  <threadedComment ref="D74" dT="2026-09-25T15:24:01.84" personId="{C2F1C83F-2784-4736-8B52-50CC768CDD0D}" id="{AA49201B-763E-49E2-A139-91B806BD411A}">
    <text>Source: https://arxiv.org/pdf/2607.17219 (web search, 2026-09-25)</text>
  </threadedComment>
  <threadedComment ref="D75" dT="2026-09-25T15:24:01.85" personId="{C2F1C83F-2784-4736-8B52-50CC768CDD0D}" id="{17C17108-1586-4A21-8AA5-152DC7CC661D}">
    <text>Source: https://arxiv.org/pdf/1703.02386 (web search, 2026-09-25)</text>
  </threadedComment>
  <threadedComment ref="D76" dT="2026-09-25T15:24:01.85" personId="{C2F1C83F-2784-4736-8B52-50CC768CDD0D}" id="{BA74F4C2-5FE9-4408-AC1F-C88068C95B50}">
    <text>Source: https://www.nature.com/articles/s41598-022-13757-2 (web search, 2026-09-25)</text>
  </threadedComment>
  <threadedComment ref="D77" dT="2026-09-25T15:24:01.86" personId="{C2F1C83F-2784-4736-8B52-50CC768CDD0D}" id="{947DF6B0-672C-4723-9114-B8740383DDE4}">
    <text>Source: https://arxiv.org/pdf/2205.12378 (web search, 2026-09-25)</text>
  </threadedComment>
  <threadedComment ref="D78" dT="2026-09-25T15:24:01.86" personId="{C2F1C83F-2784-4736-8B52-50CC768CDD0D}" id="{27B34C34-A754-45C6-B212-1BD14B3254D7}">
    <text>Source: https://www.cambridge.org/core/books/abs/quantum-models-of-cognition-and-decision/references/14C9F090517B89605E62E98979974C48 (web search, 2026-09-25)</text>
  </threadedComment>
  <threadedComment ref="D79" dT="2026-09-25T15:24:01.87" personId="{C2F1C83F-2784-4736-8B52-50CC768CDD0D}" id="{6C0EEDD5-9167-4333-8E5D-78231EBEDB22}">
    <text>Source: https://arxiv.org/abs/1609.07721 (web search, 2026-09-25)</text>
  </threadedComment>
  <threadedComment ref="D80" dT="2026-09-25T15:24:01.88" personId="{C2F1C83F-2784-4736-8B52-50CC768CDD0D}" id="{8EE9163A-1B5A-496C-8FA1-012BA6304696}">
    <text>Source: https://arxiv.org/pdf/2604.01366 (web search, 2026-09-25)</text>
  </threadedComment>
  <threadedComment ref="D81" dT="2026-09-25T15:24:01.88" personId="{C2F1C83F-2784-4736-8B52-50CC768CDD0D}" id="{CB91AE1A-BA1E-450E-A16C-B249A0C996FD}">
    <text>Source: domain knowledge — not web-verified; confirm DOI</text>
  </threadedComment>
  <threadedComment ref="D82" dT="2026-09-25T15:24:01.88" personId="{C2F1C83F-2784-4736-8B52-50CC768CDD0D}" id="{131A9C15-ED7C-4815-B08E-EFAE9737B81A}">
    <text>Source: https://arxiv.org/pdf/2006.02256 (web search, 2026-09-25)</text>
  </threadedComment>
  <threadedComment ref="D83" dT="2026-09-25T15:24:01.89" personId="{C2F1C83F-2784-4736-8B52-50CC768CDD0D}" id="{5C411D43-2FEA-485F-B18B-53483EC43756}">
    <text>Source: domain knowledge — not web-verified; confirm DOI</text>
  </threadedComment>
  <threadedComment ref="D84" dT="2026-09-25T15:24:01.89" personId="{C2F1C83F-2784-4736-8B52-50CC768CDD0D}" id="{0EFCDBDB-918E-4520-8A61-0E2EB0BBEA2F}">
    <text>Source: domain knowledge — not web-verified; confirm DOI</text>
  </threadedComment>
  <threadedComment ref="D85" dT="2026-09-25T15:24:01.90" personId="{C2F1C83F-2784-4736-8B52-50CC768CDD0D}" id="{3CBF1798-2B26-46A9-88BC-77CE09CB1FB9}">
    <text>Source: domain knowledge — not web-verified; confirm DOI</text>
  </threadedComment>
  <threadedComment ref="D86" dT="2026-09-25T15:24:01.90" personId="{C2F1C83F-2784-4736-8B52-50CC768CDD0D}" id="{BADC5A7F-4E15-450C-8DCD-2D27B0A95727}">
    <text>Source: https://arxiv.org/pdf/1904.05298 (web search, 2026-09-25)</text>
  </threadedComment>
  <threadedComment ref="D87" dT="2026-09-25T15:24:01.90" personId="{C2F1C83F-2784-4736-8B52-50CC768CDD0D}" id="{BA75925E-CC6F-4AC1-B0B8-9AF6925D2F4E}">
    <text>Source: https://dl.acm.org/doi/10.1145/3505138 (web search, 2026-09-25)</text>
  </threadedComment>
  <threadedComment ref="D88" dT="2026-09-25T15:24:01.90" personId="{C2F1C83F-2784-4736-8B52-50CC768CDD0D}" id="{F394E2DC-02C7-4009-9B6F-6309F683F428}">
    <text>Source: https://dl.acm.org/doi/10.1145/3505138 (web search, 2026-09-25)</text>
  </threadedComment>
  <threadedComment ref="D89" dT="2026-09-25T15:24:01.91" personId="{C2F1C83F-2784-4736-8B52-50CC768CDD0D}" id="{AEEC9755-FE96-409E-8170-2B54B584AE51}">
    <text>Source: https://dl.acm.org/doi/10.1145/3505138 (web search, 2026-09-25)</text>
  </threadedComment>
  <threadedComment ref="D90" dT="2026-09-25T15:24:01.91" personId="{C2F1C83F-2784-4736-8B52-50CC768CDD0D}" id="{A150918D-48EC-4FD2-A8FF-5DE93C07AD78}">
    <text>Source: domain knowledge — not web-verified; confirm DOI</text>
  </threadedComment>
  <threadedComment ref="D91" dT="2026-09-25T15:24:01.92" personId="{C2F1C83F-2784-4736-8B52-50CC768CDD0D}" id="{B44D2340-D677-4BF4-9DEB-6FA621EB9E3E}">
    <text>Source: domain knowledge — not web-verified; confirm DOI</text>
  </threadedComment>
  <threadedComment ref="D92" dT="2026-09-25T15:24:01.92" personId="{C2F1C83F-2784-4736-8B52-50CC768CDD0D}" id="{9C81BBCA-D37F-4787-8D68-443ECD1E56CF}">
    <text>Source: https://arxiv.org/pdf/2607.17219 (web search, 2026-09-25)</text>
  </threadedComment>
  <threadedComment ref="D93" dT="2026-09-25T15:24:01.92" personId="{C2F1C83F-2784-4736-8B52-50CC768CDD0D}" id="{3AF7D506-E6D6-4235-9C34-0577868335C1}">
    <text>Source: domain knowledge — not web-verified; confirm DOI</text>
  </threadedComment>
  <threadedComment ref="D94" dT="2026-09-25T15:24:01.93" personId="{C2F1C83F-2784-4736-8B52-50CC768CDD0D}" id="{8AA44354-3228-47FA-846B-45AC5C70E902}">
    <text>Source: domain knowledge — not web-verified; confirm DOI</text>
  </threadedComment>
  <threadedComment ref="D95" dT="2026-09-25T15:24:01.93" personId="{C2F1C83F-2784-4736-8B52-50CC768CDD0D}" id="{0C55F622-DFB7-4987-AB16-0E0849C975B7}">
    <text>Source: domain knowledge — not web-verified; confirm DOI</text>
  </threadedComment>
  <threadedComment ref="D96" dT="2026-09-25T15:24:01.93" personId="{C2F1C83F-2784-4736-8B52-50CC768CDD0D}" id="{E94E8F40-4C87-4200-8587-EFAD9C8F3792}">
    <text>Source: domain knowledge — not web-verified; confirm DOI</text>
  </threadedComment>
  <threadedComment ref="D97" dT="2026-09-25T15:24:01.93" personId="{C2F1C83F-2784-4736-8B52-50CC768CDD0D}" id="{51EFE9AE-CDF5-433E-A878-722CC1043269}">
    <text>Source: domain knowledge — not web-verified; confirm DOI</text>
  </threadedComment>
  <threadedComment ref="D98" dT="2026-09-25T15:24:01.94" personId="{C2F1C83F-2784-4736-8B52-50CC768CDD0D}" id="{CF3B9689-F305-442F-9687-72B66A774154}">
    <text>Source: domain knowledge — not web-verified; confirm DOI</text>
  </threadedComment>
  <threadedComment ref="D99" dT="2026-09-25T15:24:01.94" personId="{C2F1C83F-2784-4736-8B52-50CC768CDD0D}" id="{D1A149BA-7211-4360-BC04-83998CDAD04E}">
    <text>Source: domain knowledge — not web-verified; confirm DOI</text>
  </threadedComment>
  <threadedComment ref="D100" dT="2026-09-25T15:24:01.94" personId="{C2F1C83F-2784-4736-8B52-50CC768CDD0D}" id="{27C13BC2-9735-452E-BE3E-2455CE69D665}">
    <text>Source: https://www.nature.com/articles/s41598-022-13757-2 (web search, 2026-09-25)</text>
  </threadedComment>
  <threadedComment ref="D101" dT="2026-09-25T15:24:01.95" personId="{C2F1C83F-2784-4736-8B52-50CC768CDD0D}" id="{CCFEDA4A-C213-4B77-AB91-B86618634930}">
    <text>Source: domain knowledge — not web-verified; confirm DOI</text>
  </threadedComment>
  <threadedComment ref="D102" dT="2026-09-25T15:24:01.95" personId="{C2F1C83F-2784-4736-8B52-50CC768CDD0D}" id="{F20DBE78-2591-471F-899B-2BAA77FDA5A0}">
    <text>Source: https://arxiv.org/abs/2211.03464 (web search, 2026-09-25)</text>
  </threadedComment>
  <threadedComment ref="D103" dT="2026-09-25T15:24:01.95" personId="{C2F1C83F-2784-4736-8B52-50CC768CDD0D}" id="{136DE951-D23B-4CDE-9AD8-A6270A33544A}">
    <text>Source: https://ieeexplore.ieee.org/abstract/document/8793768/ (web search, 2026-09-25)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072076-3230-4CB1-A91C-6EDFF5DE92D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549f20f-1107-4379-8c35-f47150ca6c0f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011.10027" TargetMode="External"/><Relationship Id="rId13" Type="http://schemas.openxmlformats.org/officeDocument/2006/relationships/hyperlink" Target="https://arxiv.org/abs/1806.01838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arxiv.org/abs/2001.05824" TargetMode="External"/><Relationship Id="rId7" Type="http://schemas.openxmlformats.org/officeDocument/2006/relationships/hyperlink" Target="https://arxiv.org/abs/1307.0411" TargetMode="External"/><Relationship Id="rId12" Type="http://schemas.openxmlformats.org/officeDocument/2006/relationships/hyperlink" Target="https://arxiv.org/abs/0811.3171" TargetMode="External"/><Relationship Id="rId17" Type="http://schemas.openxmlformats.org/officeDocument/2006/relationships/hyperlink" Target="https://docs.ufpr.br/~danielsantos/ProbabilisticRobotics.pdf" TargetMode="External"/><Relationship Id="rId2" Type="http://schemas.openxmlformats.org/officeDocument/2006/relationships/hyperlink" Target="https://arxiv.org/abs/1812.07589" TargetMode="External"/><Relationship Id="rId16" Type="http://schemas.openxmlformats.org/officeDocument/2006/relationships/hyperlink" Target="https://arxiv.org/abs/2109.12484" TargetMode="External"/><Relationship Id="rId20" Type="http://schemas.openxmlformats.org/officeDocument/2006/relationships/comments" Target="../comments2.xml"/><Relationship Id="rId1" Type="http://schemas.openxmlformats.org/officeDocument/2006/relationships/hyperlink" Target="https://arxiv.org/abs/1411.4028" TargetMode="External"/><Relationship Id="rId6" Type="http://schemas.openxmlformats.org/officeDocument/2006/relationships/hyperlink" Target="https://arxiv.org/abs/2205.04992" TargetMode="External"/><Relationship Id="rId11" Type="http://schemas.openxmlformats.org/officeDocument/2006/relationships/hyperlink" Target="https://arxiv.org/abs/1401.2142" TargetMode="External"/><Relationship Id="rId5" Type="http://schemas.openxmlformats.org/officeDocument/2006/relationships/hyperlink" Target="https://arxiv.org/abs/2108.04817" TargetMode="External"/><Relationship Id="rId15" Type="http://schemas.openxmlformats.org/officeDocument/2006/relationships/hyperlink" Target="https://arxiv.org/abs/1811.04271" TargetMode="External"/><Relationship Id="rId10" Type="http://schemas.openxmlformats.org/officeDocument/2006/relationships/hyperlink" Target="https://arxiv.org/abs/quant-ph/9605043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s://arxiv.org/abs/2206.14118" TargetMode="External"/><Relationship Id="rId9" Type="http://schemas.openxmlformats.org/officeDocument/2006/relationships/hyperlink" Target="https://arxiv.org/abs/quant-ph/0105098" TargetMode="External"/><Relationship Id="rId14" Type="http://schemas.openxmlformats.org/officeDocument/2006/relationships/hyperlink" Target="https://arxiv.org/abs/quant-ph/001209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ufpr.br/~danielsantos/ProbabilisticRobotics.pdf" TargetMode="External"/><Relationship Id="rId3" Type="http://schemas.openxmlformats.org/officeDocument/2006/relationships/hyperlink" Target="https://arxiv.org/abs/1307.0411" TargetMode="External"/><Relationship Id="rId7" Type="http://schemas.openxmlformats.org/officeDocument/2006/relationships/hyperlink" Target="https://arxiv.org/abs/1811.04271" TargetMode="External"/><Relationship Id="rId12" Type="http://schemas.microsoft.com/office/2017/10/relationships/threadedComment" Target="../threadedComments/threadedComment2.xml"/><Relationship Id="rId2" Type="http://schemas.openxmlformats.org/officeDocument/2006/relationships/hyperlink" Target="https://arxiv.org/abs/1812.07589" TargetMode="External"/><Relationship Id="rId1" Type="http://schemas.openxmlformats.org/officeDocument/2006/relationships/hyperlink" Target="https://arxiv.org/abs/1411.4028" TargetMode="External"/><Relationship Id="rId6" Type="http://schemas.openxmlformats.org/officeDocument/2006/relationships/hyperlink" Target="https://arxiv.org/abs/0811.3171" TargetMode="External"/><Relationship Id="rId11" Type="http://schemas.openxmlformats.org/officeDocument/2006/relationships/comments" Target="../comments3.xml"/><Relationship Id="rId5" Type="http://schemas.openxmlformats.org/officeDocument/2006/relationships/hyperlink" Target="https://arxiv.org/abs/1401.2142" TargetMode="External"/><Relationship Id="rId10" Type="http://schemas.openxmlformats.org/officeDocument/2006/relationships/vmlDrawing" Target="../drawings/vmlDrawing3.vml"/><Relationship Id="rId4" Type="http://schemas.openxmlformats.org/officeDocument/2006/relationships/hyperlink" Target="https://arxiv.org/abs/quant-ph/9605043" TargetMode="External"/><Relationship Id="rId9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rxiv.org/abs/1811.04271" TargetMode="Externa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BBC0-89E8-44FC-B782-75B5C481BD01}">
  <dimension ref="A1:I36"/>
  <sheetViews>
    <sheetView workbookViewId="0">
      <pane ySplit="4" topLeftCell="A5" activePane="bottomLeft" state="frozen"/>
      <selection pane="bottomLeft" activeCell="B16" sqref="B16"/>
    </sheetView>
  </sheetViews>
  <sheetFormatPr defaultRowHeight="14.5" x14ac:dyDescent="0.35"/>
  <cols>
    <col min="1" max="1" width="4.36328125" customWidth="1"/>
    <col min="2" max="2" width="41.81640625" customWidth="1"/>
    <col min="3" max="3" width="78.1796875" customWidth="1"/>
    <col min="4" max="4" width="43.6328125" customWidth="1"/>
    <col min="5" max="5" width="16.36328125" customWidth="1"/>
  </cols>
  <sheetData>
    <row r="1" spans="1:9" ht="18.5" x14ac:dyDescent="0.45">
      <c r="A1" s="2" t="s">
        <v>363</v>
      </c>
    </row>
    <row r="2" spans="1:9" x14ac:dyDescent="0.35">
      <c r="A2" s="3" t="s">
        <v>364</v>
      </c>
    </row>
    <row r="3" spans="1:9" x14ac:dyDescent="0.35">
      <c r="G3" s="29"/>
    </row>
    <row r="4" spans="1:9" x14ac:dyDescent="0.35">
      <c r="A4" s="6" t="s">
        <v>228</v>
      </c>
      <c r="B4" s="6" t="s">
        <v>365</v>
      </c>
      <c r="C4" s="6" t="s">
        <v>366</v>
      </c>
      <c r="D4" s="6" t="s">
        <v>367</v>
      </c>
      <c r="E4" s="6" t="s">
        <v>368</v>
      </c>
      <c r="G4" s="35"/>
      <c r="H4" s="35"/>
      <c r="I4" s="35"/>
    </row>
    <row r="5" spans="1:9" ht="43.5" x14ac:dyDescent="0.35">
      <c r="A5" s="5">
        <v>1</v>
      </c>
      <c r="B5" s="5" t="s">
        <v>369</v>
      </c>
      <c r="C5" s="5" t="s">
        <v>370</v>
      </c>
      <c r="D5" s="5" t="s">
        <v>371</v>
      </c>
      <c r="E5" s="5" t="s">
        <v>372</v>
      </c>
      <c r="G5" s="36"/>
      <c r="H5" s="36"/>
      <c r="I5" s="36"/>
    </row>
    <row r="6" spans="1:9" ht="29" x14ac:dyDescent="0.35">
      <c r="A6" s="5">
        <v>2</v>
      </c>
      <c r="B6" s="5" t="s">
        <v>373</v>
      </c>
      <c r="C6" s="5" t="s">
        <v>374</v>
      </c>
      <c r="D6" s="5" t="s">
        <v>375</v>
      </c>
      <c r="E6" s="5" t="s">
        <v>372</v>
      </c>
      <c r="G6" s="36"/>
      <c r="H6" s="36"/>
      <c r="I6" s="36"/>
    </row>
    <row r="7" spans="1:9" ht="29" x14ac:dyDescent="0.35">
      <c r="A7" s="5">
        <v>3</v>
      </c>
      <c r="B7" s="5" t="s">
        <v>376</v>
      </c>
      <c r="C7" s="5" t="s">
        <v>377</v>
      </c>
      <c r="D7" s="5" t="s">
        <v>378</v>
      </c>
      <c r="E7" s="5" t="s">
        <v>372</v>
      </c>
      <c r="G7" s="36"/>
      <c r="H7" s="36"/>
      <c r="I7" s="36"/>
    </row>
    <row r="8" spans="1:9" ht="29" x14ac:dyDescent="0.35">
      <c r="A8" s="5">
        <v>4</v>
      </c>
      <c r="B8" s="5" t="s">
        <v>379</v>
      </c>
      <c r="C8" s="5" t="s">
        <v>380</v>
      </c>
      <c r="D8" s="5" t="s">
        <v>381</v>
      </c>
      <c r="E8" s="5" t="s">
        <v>382</v>
      </c>
      <c r="G8" s="27"/>
      <c r="H8" s="27"/>
      <c r="I8" s="27"/>
    </row>
    <row r="9" spans="1:9" ht="29" x14ac:dyDescent="0.35">
      <c r="A9" s="5">
        <v>5</v>
      </c>
      <c r="B9" s="5" t="s">
        <v>383</v>
      </c>
      <c r="C9" s="5" t="s">
        <v>384</v>
      </c>
      <c r="D9" s="5" t="s">
        <v>385</v>
      </c>
      <c r="E9" s="5" t="s">
        <v>382</v>
      </c>
      <c r="G9" s="27"/>
      <c r="H9" s="27"/>
      <c r="I9" s="27"/>
    </row>
    <row r="10" spans="1:9" ht="29" x14ac:dyDescent="0.35">
      <c r="A10" s="7">
        <v>6</v>
      </c>
      <c r="B10" s="7" t="s">
        <v>386</v>
      </c>
      <c r="C10" s="7" t="s">
        <v>387</v>
      </c>
      <c r="D10" s="7" t="s">
        <v>388</v>
      </c>
      <c r="E10" s="7" t="s">
        <v>389</v>
      </c>
      <c r="G10" s="27"/>
      <c r="H10" s="27"/>
      <c r="I10" s="27"/>
    </row>
    <row r="11" spans="1:9" ht="29" x14ac:dyDescent="0.35">
      <c r="A11" s="5">
        <v>7</v>
      </c>
      <c r="B11" s="5" t="s">
        <v>390</v>
      </c>
      <c r="C11" s="5" t="s">
        <v>391</v>
      </c>
      <c r="D11" s="5" t="s">
        <v>392</v>
      </c>
      <c r="E11" s="5" t="s">
        <v>393</v>
      </c>
      <c r="G11" s="27"/>
      <c r="H11" s="27"/>
      <c r="I11" s="27"/>
    </row>
    <row r="12" spans="1:9" ht="29" x14ac:dyDescent="0.35">
      <c r="A12" s="5">
        <v>8</v>
      </c>
      <c r="B12" s="5" t="s">
        <v>394</v>
      </c>
      <c r="C12" s="5" t="s">
        <v>395</v>
      </c>
      <c r="D12" s="5" t="s">
        <v>396</v>
      </c>
      <c r="E12" s="5" t="s">
        <v>397</v>
      </c>
      <c r="G12" s="27"/>
      <c r="H12" s="27"/>
      <c r="I12" s="27"/>
    </row>
    <row r="13" spans="1:9" ht="29" x14ac:dyDescent="0.35">
      <c r="A13" s="7">
        <v>9</v>
      </c>
      <c r="B13" s="7" t="s">
        <v>398</v>
      </c>
      <c r="C13" s="7" t="s">
        <v>399</v>
      </c>
      <c r="D13" s="7" t="s">
        <v>400</v>
      </c>
      <c r="E13" s="7" t="s">
        <v>401</v>
      </c>
      <c r="G13" s="27"/>
      <c r="H13" s="27"/>
      <c r="I13" s="27"/>
    </row>
    <row r="14" spans="1:9" x14ac:dyDescent="0.35">
      <c r="A14" s="5">
        <v>10</v>
      </c>
      <c r="B14" s="5" t="s">
        <v>402</v>
      </c>
      <c r="C14" s="5" t="s">
        <v>403</v>
      </c>
      <c r="D14" s="5" t="s">
        <v>371</v>
      </c>
      <c r="E14" s="5" t="s">
        <v>372</v>
      </c>
      <c r="G14" s="27"/>
      <c r="H14" s="27"/>
      <c r="I14" s="27"/>
    </row>
    <row r="15" spans="1:9" x14ac:dyDescent="0.35">
      <c r="G15" s="27"/>
      <c r="H15" s="27"/>
      <c r="I15" s="27"/>
    </row>
    <row r="16" spans="1:9" ht="279" x14ac:dyDescent="0.35">
      <c r="A16" s="37" t="s">
        <v>2048</v>
      </c>
      <c r="G16" s="27"/>
      <c r="H16" s="27"/>
      <c r="I16" s="27"/>
    </row>
    <row r="17" spans="1:9" ht="43.5" x14ac:dyDescent="0.35">
      <c r="A17" s="38" t="s">
        <v>2049</v>
      </c>
      <c r="B17" s="27" t="s">
        <v>2050</v>
      </c>
      <c r="G17" s="27"/>
      <c r="H17" s="27"/>
      <c r="I17" s="27"/>
    </row>
    <row r="18" spans="1:9" ht="87" x14ac:dyDescent="0.35">
      <c r="A18" s="38" t="s">
        <v>2051</v>
      </c>
      <c r="B18" s="27" t="s">
        <v>2052</v>
      </c>
      <c r="G18" s="27"/>
      <c r="H18" s="27"/>
      <c r="I18" s="27"/>
    </row>
    <row r="19" spans="1:9" ht="43.5" x14ac:dyDescent="0.35">
      <c r="A19" s="38" t="s">
        <v>2053</v>
      </c>
      <c r="B19" s="27" t="s">
        <v>2054</v>
      </c>
      <c r="G19" s="27"/>
      <c r="H19" s="27"/>
      <c r="I19" s="27"/>
    </row>
    <row r="20" spans="1:9" ht="101.5" x14ac:dyDescent="0.35">
      <c r="A20" s="38" t="s">
        <v>2055</v>
      </c>
      <c r="B20" s="27" t="s">
        <v>2056</v>
      </c>
      <c r="G20" s="27"/>
      <c r="H20" s="27"/>
      <c r="I20" s="27"/>
    </row>
    <row r="21" spans="1:9" ht="101.5" x14ac:dyDescent="0.35">
      <c r="A21" s="38" t="s">
        <v>2057</v>
      </c>
      <c r="B21" s="27" t="s">
        <v>2058</v>
      </c>
      <c r="G21" s="27"/>
      <c r="H21" s="27"/>
      <c r="I21" s="27"/>
    </row>
    <row r="22" spans="1:9" ht="87" x14ac:dyDescent="0.35">
      <c r="A22" s="38" t="s">
        <v>1793</v>
      </c>
      <c r="B22" s="27" t="s">
        <v>2059</v>
      </c>
      <c r="G22" s="27"/>
      <c r="H22" s="27"/>
      <c r="I22" s="27"/>
    </row>
    <row r="23" spans="1:9" ht="87" x14ac:dyDescent="0.35">
      <c r="A23" s="38" t="s">
        <v>2060</v>
      </c>
      <c r="B23" s="27" t="s">
        <v>2061</v>
      </c>
      <c r="G23" s="27"/>
      <c r="H23" s="27"/>
      <c r="I23" s="27"/>
    </row>
    <row r="24" spans="1:9" ht="43.5" x14ac:dyDescent="0.35">
      <c r="A24" s="38" t="s">
        <v>2062</v>
      </c>
      <c r="B24" s="27" t="s">
        <v>2063</v>
      </c>
      <c r="G24" s="27"/>
      <c r="H24" s="27"/>
      <c r="I24" s="27"/>
    </row>
    <row r="25" spans="1:9" ht="43.5" x14ac:dyDescent="0.35">
      <c r="A25" s="38" t="s">
        <v>402</v>
      </c>
      <c r="B25" s="27" t="s">
        <v>2064</v>
      </c>
      <c r="G25" s="27"/>
      <c r="H25" s="27"/>
      <c r="I25" s="27"/>
    </row>
    <row r="26" spans="1:9" ht="72.5" x14ac:dyDescent="0.35">
      <c r="A26" s="38" t="s">
        <v>2065</v>
      </c>
      <c r="B26" s="27" t="s">
        <v>2066</v>
      </c>
      <c r="G26" s="27"/>
      <c r="H26" s="27"/>
      <c r="I26" s="27"/>
    </row>
    <row r="27" spans="1:9" x14ac:dyDescent="0.35">
      <c r="G27" s="27"/>
      <c r="H27" s="27"/>
      <c r="I27" s="27"/>
    </row>
    <row r="28" spans="1:9" x14ac:dyDescent="0.35">
      <c r="G28" s="27"/>
      <c r="H28" s="27"/>
      <c r="I28" s="27"/>
    </row>
    <row r="29" spans="1:9" x14ac:dyDescent="0.35">
      <c r="G29" s="27"/>
      <c r="H29" s="27"/>
      <c r="I29" s="27"/>
    </row>
    <row r="30" spans="1:9" x14ac:dyDescent="0.35">
      <c r="G30" s="27"/>
      <c r="H30" s="27"/>
      <c r="I30" s="27"/>
    </row>
    <row r="31" spans="1:9" x14ac:dyDescent="0.35">
      <c r="G31" s="27"/>
      <c r="H31" s="27"/>
      <c r="I31" s="27"/>
    </row>
    <row r="32" spans="1:9" x14ac:dyDescent="0.35">
      <c r="G32" s="27"/>
      <c r="H32" s="27"/>
      <c r="I32" s="27"/>
    </row>
    <row r="33" spans="7:9" x14ac:dyDescent="0.35">
      <c r="G33" s="27"/>
      <c r="H33" s="27"/>
      <c r="I33" s="27"/>
    </row>
    <row r="34" spans="7:9" x14ac:dyDescent="0.35">
      <c r="G34" s="27"/>
      <c r="H34" s="27"/>
      <c r="I34" s="27"/>
    </row>
    <row r="35" spans="7:9" x14ac:dyDescent="0.35">
      <c r="G35" s="27"/>
      <c r="H35" s="27"/>
      <c r="I35" s="27"/>
    </row>
    <row r="36" spans="7:9" x14ac:dyDescent="0.35">
      <c r="G36" s="27"/>
      <c r="H36" s="27"/>
      <c r="I36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4A55-F70C-48D7-B84C-FA2CFC4C1149}">
  <dimension ref="A1:E200"/>
  <sheetViews>
    <sheetView workbookViewId="0">
      <pane ySplit="4" topLeftCell="A5" activePane="bottomLeft" state="frozen"/>
      <selection pane="bottomLeft" activeCell="D51" sqref="D51"/>
    </sheetView>
  </sheetViews>
  <sheetFormatPr defaultRowHeight="14.5" x14ac:dyDescent="0.35"/>
  <cols>
    <col min="1" max="1" width="6.36328125" customWidth="1"/>
    <col min="2" max="2" width="54.54296875" customWidth="1"/>
    <col min="3" max="3" width="10.90625" customWidth="1"/>
    <col min="4" max="4" width="65.453125" customWidth="1"/>
    <col min="5" max="5" width="27.26953125" customWidth="1"/>
  </cols>
  <sheetData>
    <row r="1" spans="1:5" ht="18.5" x14ac:dyDescent="0.45">
      <c r="A1" s="65" t="s">
        <v>1981</v>
      </c>
      <c r="B1" s="66"/>
      <c r="C1" s="66"/>
      <c r="D1" s="66"/>
      <c r="E1" s="66"/>
    </row>
    <row r="2" spans="1:5" x14ac:dyDescent="0.35">
      <c r="A2" s="67" t="s">
        <v>1982</v>
      </c>
      <c r="B2" s="66"/>
      <c r="C2" s="66"/>
      <c r="D2" s="66"/>
      <c r="E2" s="66"/>
    </row>
    <row r="4" spans="1:5" x14ac:dyDescent="0.35">
      <c r="A4" s="32" t="s">
        <v>228</v>
      </c>
      <c r="B4" s="30" t="s">
        <v>365</v>
      </c>
      <c r="C4" s="32" t="s">
        <v>1983</v>
      </c>
      <c r="D4" s="30" t="s">
        <v>1984</v>
      </c>
      <c r="E4" s="30" t="s">
        <v>1985</v>
      </c>
    </row>
    <row r="5" spans="1:5" x14ac:dyDescent="0.35">
      <c r="A5" s="68" t="s">
        <v>1986</v>
      </c>
      <c r="B5" s="62"/>
      <c r="C5" s="63"/>
      <c r="D5" s="62"/>
      <c r="E5" s="64"/>
    </row>
    <row r="6" spans="1:5" ht="29" x14ac:dyDescent="0.35">
      <c r="A6" s="33">
        <v>1</v>
      </c>
      <c r="B6" s="5" t="s">
        <v>1987</v>
      </c>
      <c r="C6" s="33" t="s">
        <v>1988</v>
      </c>
      <c r="D6" s="5" t="s">
        <v>1989</v>
      </c>
      <c r="E6" s="31" t="s">
        <v>1990</v>
      </c>
    </row>
    <row r="7" spans="1:5" ht="29" x14ac:dyDescent="0.35">
      <c r="A7" s="33">
        <v>2</v>
      </c>
      <c r="B7" s="5" t="s">
        <v>1991</v>
      </c>
      <c r="C7" s="33" t="s">
        <v>1992</v>
      </c>
      <c r="D7" s="5" t="s">
        <v>1993</v>
      </c>
      <c r="E7" s="31" t="s">
        <v>1990</v>
      </c>
    </row>
    <row r="8" spans="1:5" x14ac:dyDescent="0.35">
      <c r="A8" s="33">
        <v>3</v>
      </c>
      <c r="B8" s="5" t="s">
        <v>1994</v>
      </c>
      <c r="C8" s="33" t="s">
        <v>1988</v>
      </c>
      <c r="D8" s="5" t="s">
        <v>1995</v>
      </c>
      <c r="E8" s="31" t="s">
        <v>1990</v>
      </c>
    </row>
    <row r="9" spans="1:5" x14ac:dyDescent="0.35">
      <c r="A9" s="69" t="s">
        <v>1996</v>
      </c>
      <c r="B9" s="62"/>
      <c r="C9" s="63"/>
      <c r="D9" s="62"/>
      <c r="E9" s="64"/>
    </row>
    <row r="10" spans="1:5" ht="29" x14ac:dyDescent="0.35">
      <c r="A10" s="33">
        <v>4</v>
      </c>
      <c r="B10" s="5" t="s">
        <v>1997</v>
      </c>
      <c r="C10" s="33" t="s">
        <v>1998</v>
      </c>
      <c r="D10" s="5" t="s">
        <v>1999</v>
      </c>
      <c r="E10" s="31" t="s">
        <v>2000</v>
      </c>
    </row>
    <row r="11" spans="1:5" ht="29" x14ac:dyDescent="0.35">
      <c r="A11" s="33">
        <v>5</v>
      </c>
      <c r="B11" s="5" t="s">
        <v>2001</v>
      </c>
      <c r="C11" s="33" t="s">
        <v>2002</v>
      </c>
      <c r="D11" s="5" t="s">
        <v>2003</v>
      </c>
      <c r="E11" s="31" t="s">
        <v>2000</v>
      </c>
    </row>
    <row r="12" spans="1:5" ht="29" x14ac:dyDescent="0.35">
      <c r="A12" s="33">
        <v>6</v>
      </c>
      <c r="B12" s="5" t="s">
        <v>2004</v>
      </c>
      <c r="C12" s="33" t="s">
        <v>2005</v>
      </c>
      <c r="D12" s="5" t="s">
        <v>2006</v>
      </c>
      <c r="E12" s="31" t="s">
        <v>2000</v>
      </c>
    </row>
    <row r="13" spans="1:5" x14ac:dyDescent="0.35">
      <c r="A13" s="70" t="s">
        <v>2007</v>
      </c>
      <c r="B13" s="62"/>
      <c r="C13" s="63"/>
      <c r="D13" s="62"/>
      <c r="E13" s="64"/>
    </row>
    <row r="14" spans="1:5" ht="29" x14ac:dyDescent="0.35">
      <c r="A14" s="33">
        <v>7</v>
      </c>
      <c r="B14" s="5" t="s">
        <v>2008</v>
      </c>
      <c r="C14" s="33" t="s">
        <v>1992</v>
      </c>
      <c r="D14" s="5" t="s">
        <v>2009</v>
      </c>
      <c r="E14" s="31" t="s">
        <v>2010</v>
      </c>
    </row>
    <row r="15" spans="1:5" x14ac:dyDescent="0.35">
      <c r="A15" s="33">
        <v>8</v>
      </c>
      <c r="B15" s="5" t="s">
        <v>2011</v>
      </c>
      <c r="C15" s="33" t="s">
        <v>2012</v>
      </c>
      <c r="D15" s="5" t="s">
        <v>2013</v>
      </c>
      <c r="E15" s="31" t="s">
        <v>2010</v>
      </c>
    </row>
    <row r="16" spans="1:5" ht="29" x14ac:dyDescent="0.35">
      <c r="A16" s="33">
        <v>9</v>
      </c>
      <c r="B16" s="5" t="s">
        <v>2014</v>
      </c>
      <c r="C16" s="33" t="s">
        <v>2005</v>
      </c>
      <c r="D16" s="5" t="s">
        <v>2015</v>
      </c>
      <c r="E16" s="31" t="s">
        <v>2010</v>
      </c>
    </row>
    <row r="17" spans="1:5" x14ac:dyDescent="0.35">
      <c r="A17" s="33">
        <v>10</v>
      </c>
      <c r="B17" s="5" t="s">
        <v>2016</v>
      </c>
      <c r="C17" s="33" t="s">
        <v>2012</v>
      </c>
      <c r="D17" s="5" t="s">
        <v>2017</v>
      </c>
      <c r="E17" s="31" t="s">
        <v>2010</v>
      </c>
    </row>
    <row r="18" spans="1:5" ht="29" x14ac:dyDescent="0.35">
      <c r="A18" s="33">
        <v>11</v>
      </c>
      <c r="B18" s="5" t="s">
        <v>2018</v>
      </c>
      <c r="C18" s="33" t="s">
        <v>1998</v>
      </c>
      <c r="D18" s="5" t="s">
        <v>2019</v>
      </c>
      <c r="E18" s="31" t="s">
        <v>2010</v>
      </c>
    </row>
    <row r="19" spans="1:5" x14ac:dyDescent="0.35">
      <c r="A19" s="33">
        <v>12</v>
      </c>
      <c r="B19" s="5" t="s">
        <v>2020</v>
      </c>
      <c r="C19" s="33" t="s">
        <v>1992</v>
      </c>
      <c r="D19" s="5" t="s">
        <v>2021</v>
      </c>
      <c r="E19" s="31" t="s">
        <v>2010</v>
      </c>
    </row>
    <row r="20" spans="1:5" x14ac:dyDescent="0.35">
      <c r="A20" s="71" t="s">
        <v>2022</v>
      </c>
      <c r="B20" s="62"/>
      <c r="C20" s="63"/>
      <c r="D20" s="62"/>
      <c r="E20" s="64"/>
    </row>
    <row r="21" spans="1:5" x14ac:dyDescent="0.35">
      <c r="A21" s="33">
        <v>13</v>
      </c>
      <c r="B21" s="5" t="s">
        <v>2023</v>
      </c>
      <c r="C21" s="33" t="s">
        <v>1988</v>
      </c>
      <c r="D21" s="5" t="s">
        <v>2024</v>
      </c>
      <c r="E21" s="31" t="s">
        <v>2025</v>
      </c>
    </row>
    <row r="22" spans="1:5" x14ac:dyDescent="0.35">
      <c r="A22" s="33">
        <v>14</v>
      </c>
      <c r="B22" s="5" t="s">
        <v>2026</v>
      </c>
      <c r="C22" s="33" t="s">
        <v>1992</v>
      </c>
      <c r="D22" s="5" t="s">
        <v>2027</v>
      </c>
      <c r="E22" s="31" t="s">
        <v>2025</v>
      </c>
    </row>
    <row r="23" spans="1:5" x14ac:dyDescent="0.35">
      <c r="A23" s="33">
        <v>15</v>
      </c>
      <c r="B23" s="5" t="s">
        <v>2028</v>
      </c>
      <c r="C23" s="33" t="s">
        <v>1992</v>
      </c>
      <c r="D23" s="5" t="s">
        <v>2029</v>
      </c>
      <c r="E23" s="31" t="s">
        <v>2025</v>
      </c>
    </row>
    <row r="24" spans="1:5" ht="29" x14ac:dyDescent="0.35">
      <c r="A24" s="33">
        <v>16</v>
      </c>
      <c r="B24" s="5" t="s">
        <v>2030</v>
      </c>
      <c r="C24" s="33" t="s">
        <v>1992</v>
      </c>
      <c r="D24" s="5" t="s">
        <v>2031</v>
      </c>
      <c r="E24" s="31" t="s">
        <v>2025</v>
      </c>
    </row>
    <row r="25" spans="1:5" x14ac:dyDescent="0.35">
      <c r="A25" s="61" t="s">
        <v>2032</v>
      </c>
      <c r="B25" s="62"/>
      <c r="C25" s="63"/>
      <c r="D25" s="62"/>
      <c r="E25" s="64"/>
    </row>
    <row r="26" spans="1:5" x14ac:dyDescent="0.35">
      <c r="A26" s="33">
        <v>17</v>
      </c>
      <c r="B26" s="5" t="s">
        <v>2033</v>
      </c>
      <c r="C26" s="33" t="s">
        <v>1988</v>
      </c>
      <c r="D26" s="5" t="s">
        <v>2034</v>
      </c>
      <c r="E26" s="31" t="s">
        <v>2035</v>
      </c>
    </row>
    <row r="27" spans="1:5" x14ac:dyDescent="0.35">
      <c r="A27" s="33">
        <v>18</v>
      </c>
      <c r="B27" s="5" t="s">
        <v>2036</v>
      </c>
      <c r="C27" s="33" t="s">
        <v>1988</v>
      </c>
      <c r="D27" s="5" t="s">
        <v>2037</v>
      </c>
      <c r="E27" s="31" t="s">
        <v>2035</v>
      </c>
    </row>
    <row r="28" spans="1:5" x14ac:dyDescent="0.35">
      <c r="A28" s="33">
        <v>19</v>
      </c>
      <c r="B28" s="5" t="s">
        <v>2038</v>
      </c>
      <c r="C28" s="33" t="s">
        <v>1992</v>
      </c>
      <c r="D28" s="5" t="s">
        <v>2039</v>
      </c>
      <c r="E28" s="31" t="s">
        <v>2035</v>
      </c>
    </row>
    <row r="29" spans="1:5" x14ac:dyDescent="0.35">
      <c r="A29" s="33">
        <v>20</v>
      </c>
      <c r="B29" s="5" t="s">
        <v>2040</v>
      </c>
      <c r="C29" s="33" t="s">
        <v>1988</v>
      </c>
      <c r="D29" s="5" t="s">
        <v>2041</v>
      </c>
      <c r="E29" s="31" t="s">
        <v>2035</v>
      </c>
    </row>
    <row r="30" spans="1:5" x14ac:dyDescent="0.35">
      <c r="A30" s="34"/>
      <c r="C30" s="34"/>
    </row>
    <row r="31" spans="1:5" ht="217" x14ac:dyDescent="0.35">
      <c r="A31" s="39" t="s">
        <v>2067</v>
      </c>
      <c r="C31" s="34"/>
    </row>
    <row r="32" spans="1:5" ht="29" x14ac:dyDescent="0.35">
      <c r="A32" s="40" t="s">
        <v>2049</v>
      </c>
      <c r="B32" s="27" t="s">
        <v>2068</v>
      </c>
      <c r="C32" s="34"/>
    </row>
    <row r="33" spans="1:3" ht="43.5" x14ac:dyDescent="0.35">
      <c r="A33" s="40" t="s">
        <v>2069</v>
      </c>
      <c r="B33" s="27" t="s">
        <v>2070</v>
      </c>
      <c r="C33" s="34"/>
    </row>
    <row r="34" spans="1:3" ht="43.5" x14ac:dyDescent="0.35">
      <c r="A34" s="40" t="s">
        <v>2071</v>
      </c>
      <c r="B34" s="27" t="s">
        <v>2072</v>
      </c>
      <c r="C34" s="34"/>
    </row>
    <row r="35" spans="1:3" ht="43.5" x14ac:dyDescent="0.35">
      <c r="A35" s="40" t="s">
        <v>2073</v>
      </c>
      <c r="B35" s="27" t="s">
        <v>2074</v>
      </c>
      <c r="C35" s="34"/>
    </row>
    <row r="36" spans="1:3" ht="58" x14ac:dyDescent="0.35">
      <c r="A36" s="40" t="s">
        <v>2075</v>
      </c>
      <c r="B36" s="27" t="s">
        <v>2076</v>
      </c>
      <c r="C36" s="34"/>
    </row>
    <row r="37" spans="1:3" ht="72.5" x14ac:dyDescent="0.35">
      <c r="A37" s="40" t="s">
        <v>2077</v>
      </c>
      <c r="B37" s="27" t="s">
        <v>2078</v>
      </c>
      <c r="C37" s="34"/>
    </row>
    <row r="38" spans="1:3" ht="43.5" x14ac:dyDescent="0.35">
      <c r="A38" s="40" t="s">
        <v>2079</v>
      </c>
      <c r="B38" s="27" t="s">
        <v>2080</v>
      </c>
      <c r="C38" s="34"/>
    </row>
    <row r="39" spans="1:3" ht="58" x14ac:dyDescent="0.35">
      <c r="A39" s="40" t="s">
        <v>2081</v>
      </c>
      <c r="B39" s="27" t="s">
        <v>2082</v>
      </c>
      <c r="C39" s="34"/>
    </row>
    <row r="40" spans="1:3" ht="72.5" x14ac:dyDescent="0.35">
      <c r="A40" s="40" t="s">
        <v>2083</v>
      </c>
      <c r="B40" s="27" t="s">
        <v>2084</v>
      </c>
      <c r="C40" s="34"/>
    </row>
    <row r="41" spans="1:3" ht="43.5" x14ac:dyDescent="0.35">
      <c r="A41" s="40" t="s">
        <v>2085</v>
      </c>
      <c r="B41" s="27" t="s">
        <v>2086</v>
      </c>
      <c r="C41" s="34"/>
    </row>
    <row r="42" spans="1:3" x14ac:dyDescent="0.35">
      <c r="A42" s="34"/>
      <c r="C42" s="34"/>
    </row>
    <row r="43" spans="1:3" x14ac:dyDescent="0.35">
      <c r="A43" s="34"/>
      <c r="C43" s="34"/>
    </row>
    <row r="44" spans="1:3" x14ac:dyDescent="0.35">
      <c r="A44" s="34"/>
      <c r="C44" s="34"/>
    </row>
    <row r="45" spans="1:3" x14ac:dyDescent="0.35">
      <c r="A45" s="34"/>
      <c r="C45" s="34"/>
    </row>
    <row r="46" spans="1:3" x14ac:dyDescent="0.35">
      <c r="A46" s="34"/>
      <c r="C46" s="34"/>
    </row>
    <row r="47" spans="1:3" x14ac:dyDescent="0.35">
      <c r="A47" s="34"/>
      <c r="C47" s="34"/>
    </row>
    <row r="48" spans="1:3" x14ac:dyDescent="0.35">
      <c r="A48" s="34"/>
      <c r="C48" s="34"/>
    </row>
    <row r="49" spans="1:3" x14ac:dyDescent="0.35">
      <c r="A49" s="34"/>
      <c r="C49" s="34"/>
    </row>
    <row r="50" spans="1:3" x14ac:dyDescent="0.35">
      <c r="A50" s="34"/>
      <c r="C50" s="34"/>
    </row>
    <row r="51" spans="1:3" x14ac:dyDescent="0.35">
      <c r="A51" s="34"/>
      <c r="C51" s="34"/>
    </row>
    <row r="52" spans="1:3" x14ac:dyDescent="0.35">
      <c r="A52" s="34"/>
      <c r="C52" s="34"/>
    </row>
    <row r="53" spans="1:3" x14ac:dyDescent="0.35">
      <c r="A53" s="34"/>
      <c r="C53" s="34"/>
    </row>
    <row r="54" spans="1:3" x14ac:dyDescent="0.35">
      <c r="A54" s="34"/>
      <c r="C54" s="34"/>
    </row>
    <row r="55" spans="1:3" x14ac:dyDescent="0.35">
      <c r="A55" s="34"/>
      <c r="C55" s="34"/>
    </row>
    <row r="56" spans="1:3" x14ac:dyDescent="0.35">
      <c r="A56" s="34"/>
      <c r="C56" s="34"/>
    </row>
    <row r="57" spans="1:3" x14ac:dyDescent="0.35">
      <c r="A57" s="34"/>
      <c r="C57" s="34"/>
    </row>
    <row r="58" spans="1:3" x14ac:dyDescent="0.35">
      <c r="A58" s="34"/>
      <c r="C58" s="34"/>
    </row>
    <row r="59" spans="1:3" x14ac:dyDescent="0.35">
      <c r="A59" s="34"/>
      <c r="C59" s="34"/>
    </row>
    <row r="60" spans="1:3" x14ac:dyDescent="0.35">
      <c r="A60" s="34"/>
      <c r="C60" s="34"/>
    </row>
    <row r="61" spans="1:3" x14ac:dyDescent="0.35">
      <c r="A61" s="34"/>
      <c r="C61" s="34"/>
    </row>
    <row r="62" spans="1:3" x14ac:dyDescent="0.35">
      <c r="A62" s="34"/>
      <c r="C62" s="34"/>
    </row>
    <row r="63" spans="1:3" x14ac:dyDescent="0.35">
      <c r="A63" s="34"/>
      <c r="C63" s="34"/>
    </row>
    <row r="64" spans="1:3" x14ac:dyDescent="0.35">
      <c r="A64" s="34"/>
      <c r="C64" s="34"/>
    </row>
    <row r="65" spans="1:3" x14ac:dyDescent="0.35">
      <c r="A65" s="34"/>
      <c r="C65" s="34"/>
    </row>
    <row r="66" spans="1:3" x14ac:dyDescent="0.35">
      <c r="A66" s="34"/>
      <c r="C66" s="34"/>
    </row>
    <row r="67" spans="1:3" x14ac:dyDescent="0.35">
      <c r="A67" s="34"/>
      <c r="C67" s="34"/>
    </row>
    <row r="68" spans="1:3" x14ac:dyDescent="0.35">
      <c r="A68" s="34"/>
      <c r="C68" s="34"/>
    </row>
    <row r="69" spans="1:3" x14ac:dyDescent="0.35">
      <c r="A69" s="34"/>
      <c r="C69" s="34"/>
    </row>
    <row r="70" spans="1:3" x14ac:dyDescent="0.35">
      <c r="A70" s="34"/>
      <c r="C70" s="34"/>
    </row>
    <row r="71" spans="1:3" x14ac:dyDescent="0.35">
      <c r="A71" s="34"/>
      <c r="C71" s="34"/>
    </row>
    <row r="72" spans="1:3" x14ac:dyDescent="0.35">
      <c r="A72" s="34"/>
      <c r="C72" s="34"/>
    </row>
    <row r="73" spans="1:3" x14ac:dyDescent="0.35">
      <c r="A73" s="34"/>
      <c r="C73" s="34"/>
    </row>
    <row r="74" spans="1:3" x14ac:dyDescent="0.35">
      <c r="A74" s="34"/>
      <c r="C74" s="34"/>
    </row>
    <row r="75" spans="1:3" x14ac:dyDescent="0.35">
      <c r="A75" s="34"/>
      <c r="C75" s="34"/>
    </row>
    <row r="76" spans="1:3" x14ac:dyDescent="0.35">
      <c r="A76" s="34"/>
      <c r="C76" s="34"/>
    </row>
    <row r="77" spans="1:3" x14ac:dyDescent="0.35">
      <c r="A77" s="34"/>
      <c r="C77" s="34"/>
    </row>
    <row r="78" spans="1:3" x14ac:dyDescent="0.35">
      <c r="A78" s="34"/>
      <c r="C78" s="34"/>
    </row>
    <row r="79" spans="1:3" x14ac:dyDescent="0.35">
      <c r="A79" s="34"/>
      <c r="C79" s="34"/>
    </row>
    <row r="80" spans="1:3" x14ac:dyDescent="0.35">
      <c r="A80" s="34"/>
      <c r="C80" s="34"/>
    </row>
    <row r="81" spans="1:3" x14ac:dyDescent="0.35">
      <c r="A81" s="34"/>
      <c r="C81" s="34"/>
    </row>
    <row r="82" spans="1:3" x14ac:dyDescent="0.35">
      <c r="A82" s="34"/>
      <c r="C82" s="34"/>
    </row>
    <row r="83" spans="1:3" x14ac:dyDescent="0.35">
      <c r="A83" s="34"/>
      <c r="C83" s="34"/>
    </row>
    <row r="84" spans="1:3" x14ac:dyDescent="0.35">
      <c r="A84" s="34"/>
      <c r="C84" s="34"/>
    </row>
    <row r="85" spans="1:3" x14ac:dyDescent="0.35">
      <c r="A85" s="34"/>
      <c r="C85" s="34"/>
    </row>
    <row r="86" spans="1:3" x14ac:dyDescent="0.35">
      <c r="A86" s="34"/>
      <c r="C86" s="34"/>
    </row>
    <row r="87" spans="1:3" x14ac:dyDescent="0.35">
      <c r="A87" s="34"/>
      <c r="C87" s="34"/>
    </row>
    <row r="88" spans="1:3" x14ac:dyDescent="0.35">
      <c r="A88" s="34"/>
      <c r="C88" s="34"/>
    </row>
    <row r="89" spans="1:3" x14ac:dyDescent="0.35">
      <c r="A89" s="34"/>
      <c r="C89" s="34"/>
    </row>
    <row r="90" spans="1:3" x14ac:dyDescent="0.35">
      <c r="A90" s="34"/>
      <c r="C90" s="34"/>
    </row>
    <row r="91" spans="1:3" x14ac:dyDescent="0.35">
      <c r="A91" s="34"/>
      <c r="C91" s="34"/>
    </row>
    <row r="92" spans="1:3" x14ac:dyDescent="0.35">
      <c r="A92" s="34"/>
      <c r="C92" s="34"/>
    </row>
    <row r="93" spans="1:3" x14ac:dyDescent="0.35">
      <c r="A93" s="34"/>
      <c r="C93" s="34"/>
    </row>
    <row r="94" spans="1:3" x14ac:dyDescent="0.35">
      <c r="A94" s="34"/>
      <c r="C94" s="34"/>
    </row>
    <row r="95" spans="1:3" x14ac:dyDescent="0.35">
      <c r="A95" s="34"/>
      <c r="C95" s="34"/>
    </row>
    <row r="96" spans="1:3" x14ac:dyDescent="0.35">
      <c r="A96" s="34"/>
      <c r="C96" s="34"/>
    </row>
    <row r="97" spans="1:3" x14ac:dyDescent="0.35">
      <c r="A97" s="34"/>
      <c r="C97" s="34"/>
    </row>
    <row r="98" spans="1:3" x14ac:dyDescent="0.35">
      <c r="A98" s="34"/>
      <c r="C98" s="34"/>
    </row>
    <row r="99" spans="1:3" x14ac:dyDescent="0.35">
      <c r="A99" s="34"/>
      <c r="C99" s="34"/>
    </row>
    <row r="100" spans="1:3" x14ac:dyDescent="0.35">
      <c r="A100" s="34"/>
      <c r="C100" s="34"/>
    </row>
    <row r="101" spans="1:3" x14ac:dyDescent="0.35">
      <c r="A101" s="34"/>
      <c r="C101" s="34"/>
    </row>
    <row r="102" spans="1:3" x14ac:dyDescent="0.35">
      <c r="A102" s="34"/>
      <c r="C102" s="34"/>
    </row>
    <row r="103" spans="1:3" x14ac:dyDescent="0.35">
      <c r="A103" s="34"/>
      <c r="C103" s="34"/>
    </row>
    <row r="104" spans="1:3" x14ac:dyDescent="0.35">
      <c r="A104" s="34"/>
      <c r="C104" s="34"/>
    </row>
    <row r="105" spans="1:3" x14ac:dyDescent="0.35">
      <c r="A105" s="34"/>
      <c r="C105" s="34"/>
    </row>
    <row r="106" spans="1:3" x14ac:dyDescent="0.35">
      <c r="A106" s="34"/>
      <c r="C106" s="34"/>
    </row>
    <row r="107" spans="1:3" x14ac:dyDescent="0.35">
      <c r="A107" s="34"/>
      <c r="C107" s="34"/>
    </row>
    <row r="108" spans="1:3" x14ac:dyDescent="0.35">
      <c r="A108" s="34"/>
      <c r="C108" s="34"/>
    </row>
    <row r="109" spans="1:3" x14ac:dyDescent="0.35">
      <c r="A109" s="34"/>
      <c r="C109" s="34"/>
    </row>
    <row r="110" spans="1:3" x14ac:dyDescent="0.35">
      <c r="A110" s="34"/>
      <c r="C110" s="34"/>
    </row>
    <row r="111" spans="1:3" x14ac:dyDescent="0.35">
      <c r="A111" s="34"/>
      <c r="C111" s="34"/>
    </row>
    <row r="112" spans="1:3" x14ac:dyDescent="0.35">
      <c r="A112" s="34"/>
      <c r="C112" s="34"/>
    </row>
    <row r="113" spans="1:3" x14ac:dyDescent="0.35">
      <c r="A113" s="34"/>
      <c r="C113" s="34"/>
    </row>
    <row r="114" spans="1:3" x14ac:dyDescent="0.35">
      <c r="A114" s="34"/>
      <c r="C114" s="34"/>
    </row>
    <row r="115" spans="1:3" x14ac:dyDescent="0.35">
      <c r="A115" s="34"/>
      <c r="C115" s="34"/>
    </row>
    <row r="116" spans="1:3" x14ac:dyDescent="0.35">
      <c r="A116" s="34"/>
      <c r="C116" s="34"/>
    </row>
    <row r="117" spans="1:3" x14ac:dyDescent="0.35">
      <c r="A117" s="34"/>
      <c r="C117" s="34"/>
    </row>
    <row r="118" spans="1:3" x14ac:dyDescent="0.35">
      <c r="A118" s="34"/>
      <c r="C118" s="34"/>
    </row>
    <row r="119" spans="1:3" x14ac:dyDescent="0.35">
      <c r="A119" s="34"/>
      <c r="C119" s="34"/>
    </row>
    <row r="120" spans="1:3" x14ac:dyDescent="0.35">
      <c r="A120" s="34"/>
      <c r="C120" s="34"/>
    </row>
    <row r="121" spans="1:3" x14ac:dyDescent="0.35">
      <c r="A121" s="34"/>
      <c r="C121" s="34"/>
    </row>
    <row r="122" spans="1:3" x14ac:dyDescent="0.35">
      <c r="A122" s="34"/>
      <c r="C122" s="34"/>
    </row>
    <row r="123" spans="1:3" x14ac:dyDescent="0.35">
      <c r="A123" s="34"/>
      <c r="C123" s="34"/>
    </row>
    <row r="124" spans="1:3" x14ac:dyDescent="0.35">
      <c r="A124" s="34"/>
      <c r="C124" s="34"/>
    </row>
    <row r="125" spans="1:3" x14ac:dyDescent="0.35">
      <c r="A125" s="34"/>
      <c r="C125" s="34"/>
    </row>
    <row r="126" spans="1:3" x14ac:dyDescent="0.35">
      <c r="A126" s="34"/>
      <c r="C126" s="34"/>
    </row>
    <row r="127" spans="1:3" x14ac:dyDescent="0.35">
      <c r="A127" s="34"/>
      <c r="C127" s="34"/>
    </row>
    <row r="128" spans="1:3" x14ac:dyDescent="0.35">
      <c r="A128" s="34"/>
      <c r="C128" s="34"/>
    </row>
    <row r="129" spans="1:3" x14ac:dyDescent="0.35">
      <c r="A129" s="34"/>
      <c r="C129" s="34"/>
    </row>
    <row r="130" spans="1:3" x14ac:dyDescent="0.35">
      <c r="A130" s="34"/>
      <c r="C130" s="34"/>
    </row>
    <row r="131" spans="1:3" x14ac:dyDescent="0.35">
      <c r="A131" s="34"/>
      <c r="C131" s="34"/>
    </row>
    <row r="132" spans="1:3" x14ac:dyDescent="0.35">
      <c r="A132" s="34"/>
      <c r="C132" s="34"/>
    </row>
    <row r="133" spans="1:3" x14ac:dyDescent="0.35">
      <c r="A133" s="34"/>
      <c r="C133" s="34"/>
    </row>
    <row r="134" spans="1:3" x14ac:dyDescent="0.35">
      <c r="A134" s="34"/>
      <c r="C134" s="34"/>
    </row>
    <row r="135" spans="1:3" x14ac:dyDescent="0.35">
      <c r="A135" s="34"/>
      <c r="C135" s="34"/>
    </row>
    <row r="136" spans="1:3" x14ac:dyDescent="0.35">
      <c r="A136" s="34"/>
      <c r="C136" s="34"/>
    </row>
    <row r="137" spans="1:3" x14ac:dyDescent="0.35">
      <c r="A137" s="34"/>
      <c r="C137" s="34"/>
    </row>
    <row r="138" spans="1:3" x14ac:dyDescent="0.35">
      <c r="A138" s="34"/>
      <c r="C138" s="34"/>
    </row>
    <row r="139" spans="1:3" x14ac:dyDescent="0.35">
      <c r="A139" s="34"/>
      <c r="C139" s="34"/>
    </row>
    <row r="140" spans="1:3" x14ac:dyDescent="0.35">
      <c r="A140" s="34"/>
      <c r="C140" s="34"/>
    </row>
    <row r="141" spans="1:3" x14ac:dyDescent="0.35">
      <c r="A141" s="34"/>
      <c r="C141" s="34"/>
    </row>
    <row r="142" spans="1:3" x14ac:dyDescent="0.35">
      <c r="A142" s="34"/>
      <c r="C142" s="34"/>
    </row>
    <row r="143" spans="1:3" x14ac:dyDescent="0.35">
      <c r="A143" s="34"/>
      <c r="C143" s="34"/>
    </row>
    <row r="144" spans="1:3" x14ac:dyDescent="0.35">
      <c r="A144" s="34"/>
      <c r="C144" s="34"/>
    </row>
    <row r="145" spans="1:3" x14ac:dyDescent="0.35">
      <c r="A145" s="34"/>
      <c r="C145" s="34"/>
    </row>
    <row r="146" spans="1:3" x14ac:dyDescent="0.35">
      <c r="A146" s="34"/>
      <c r="C146" s="34"/>
    </row>
    <row r="147" spans="1:3" x14ac:dyDescent="0.35">
      <c r="A147" s="34"/>
      <c r="C147" s="34"/>
    </row>
    <row r="148" spans="1:3" x14ac:dyDescent="0.35">
      <c r="A148" s="34"/>
      <c r="C148" s="34"/>
    </row>
    <row r="149" spans="1:3" x14ac:dyDescent="0.35">
      <c r="A149" s="34"/>
      <c r="C149" s="34"/>
    </row>
    <row r="150" spans="1:3" x14ac:dyDescent="0.35">
      <c r="A150" s="34"/>
      <c r="C150" s="34"/>
    </row>
    <row r="151" spans="1:3" x14ac:dyDescent="0.35">
      <c r="A151" s="34"/>
      <c r="C151" s="34"/>
    </row>
    <row r="152" spans="1:3" x14ac:dyDescent="0.35">
      <c r="A152" s="34"/>
      <c r="C152" s="34"/>
    </row>
    <row r="153" spans="1:3" x14ac:dyDescent="0.35">
      <c r="A153" s="34"/>
      <c r="C153" s="34"/>
    </row>
    <row r="154" spans="1:3" x14ac:dyDescent="0.35">
      <c r="A154" s="34"/>
      <c r="C154" s="34"/>
    </row>
    <row r="155" spans="1:3" x14ac:dyDescent="0.35">
      <c r="A155" s="34"/>
      <c r="C155" s="34"/>
    </row>
    <row r="156" spans="1:3" x14ac:dyDescent="0.35">
      <c r="A156" s="34"/>
      <c r="C156" s="34"/>
    </row>
    <row r="157" spans="1:3" x14ac:dyDescent="0.35">
      <c r="A157" s="34"/>
      <c r="C157" s="34"/>
    </row>
    <row r="158" spans="1:3" x14ac:dyDescent="0.35">
      <c r="A158" s="34"/>
      <c r="C158" s="34"/>
    </row>
    <row r="159" spans="1:3" x14ac:dyDescent="0.35">
      <c r="A159" s="34"/>
      <c r="C159" s="34"/>
    </row>
    <row r="160" spans="1:3" x14ac:dyDescent="0.35">
      <c r="A160" s="34"/>
      <c r="C160" s="34"/>
    </row>
    <row r="161" spans="1:3" x14ac:dyDescent="0.35">
      <c r="A161" s="34"/>
      <c r="C161" s="34"/>
    </row>
    <row r="162" spans="1:3" x14ac:dyDescent="0.35">
      <c r="A162" s="34"/>
      <c r="C162" s="34"/>
    </row>
    <row r="163" spans="1:3" x14ac:dyDescent="0.35">
      <c r="A163" s="34"/>
      <c r="C163" s="34"/>
    </row>
    <row r="164" spans="1:3" x14ac:dyDescent="0.35">
      <c r="A164" s="34"/>
      <c r="C164" s="34"/>
    </row>
    <row r="165" spans="1:3" x14ac:dyDescent="0.35">
      <c r="A165" s="34"/>
      <c r="C165" s="34"/>
    </row>
    <row r="166" spans="1:3" x14ac:dyDescent="0.35">
      <c r="A166" s="34"/>
      <c r="C166" s="34"/>
    </row>
    <row r="167" spans="1:3" x14ac:dyDescent="0.35">
      <c r="A167" s="34"/>
      <c r="C167" s="34"/>
    </row>
    <row r="168" spans="1:3" x14ac:dyDescent="0.35">
      <c r="A168" s="34"/>
      <c r="C168" s="34"/>
    </row>
    <row r="169" spans="1:3" x14ac:dyDescent="0.35">
      <c r="A169" s="34"/>
      <c r="C169" s="34"/>
    </row>
    <row r="170" spans="1:3" x14ac:dyDescent="0.35">
      <c r="A170" s="34"/>
      <c r="C170" s="34"/>
    </row>
    <row r="171" spans="1:3" x14ac:dyDescent="0.35">
      <c r="A171" s="34"/>
      <c r="C171" s="34"/>
    </row>
    <row r="172" spans="1:3" x14ac:dyDescent="0.35">
      <c r="A172" s="34"/>
      <c r="C172" s="34"/>
    </row>
    <row r="173" spans="1:3" x14ac:dyDescent="0.35">
      <c r="A173" s="34"/>
      <c r="C173" s="34"/>
    </row>
    <row r="174" spans="1:3" x14ac:dyDescent="0.35">
      <c r="A174" s="34"/>
      <c r="C174" s="34"/>
    </row>
    <row r="175" spans="1:3" x14ac:dyDescent="0.35">
      <c r="A175" s="34"/>
      <c r="C175" s="34"/>
    </row>
    <row r="176" spans="1:3" x14ac:dyDescent="0.35">
      <c r="A176" s="34"/>
      <c r="C176" s="34"/>
    </row>
    <row r="177" spans="1:3" x14ac:dyDescent="0.35">
      <c r="A177" s="34"/>
      <c r="C177" s="34"/>
    </row>
    <row r="178" spans="1:3" x14ac:dyDescent="0.35">
      <c r="A178" s="34"/>
      <c r="C178" s="34"/>
    </row>
    <row r="179" spans="1:3" x14ac:dyDescent="0.35">
      <c r="A179" s="34"/>
      <c r="C179" s="34"/>
    </row>
    <row r="180" spans="1:3" x14ac:dyDescent="0.35">
      <c r="A180" s="34"/>
      <c r="C180" s="34"/>
    </row>
    <row r="181" spans="1:3" x14ac:dyDescent="0.35">
      <c r="A181" s="34"/>
      <c r="C181" s="34"/>
    </row>
    <row r="182" spans="1:3" x14ac:dyDescent="0.35">
      <c r="A182" s="34"/>
      <c r="C182" s="34"/>
    </row>
    <row r="183" spans="1:3" x14ac:dyDescent="0.35">
      <c r="A183" s="34"/>
      <c r="C183" s="34"/>
    </row>
    <row r="184" spans="1:3" x14ac:dyDescent="0.35">
      <c r="A184" s="34"/>
      <c r="C184" s="34"/>
    </row>
    <row r="185" spans="1:3" x14ac:dyDescent="0.35">
      <c r="A185" s="34"/>
      <c r="C185" s="34"/>
    </row>
    <row r="186" spans="1:3" x14ac:dyDescent="0.35">
      <c r="A186" s="34"/>
      <c r="C186" s="34"/>
    </row>
    <row r="187" spans="1:3" x14ac:dyDescent="0.35">
      <c r="A187" s="34"/>
      <c r="C187" s="34"/>
    </row>
    <row r="188" spans="1:3" x14ac:dyDescent="0.35">
      <c r="A188" s="34"/>
      <c r="C188" s="34"/>
    </row>
    <row r="189" spans="1:3" x14ac:dyDescent="0.35">
      <c r="A189" s="34"/>
      <c r="C189" s="34"/>
    </row>
    <row r="190" spans="1:3" x14ac:dyDescent="0.35">
      <c r="A190" s="34"/>
      <c r="C190" s="34"/>
    </row>
    <row r="191" spans="1:3" x14ac:dyDescent="0.35">
      <c r="A191" s="34"/>
      <c r="C191" s="34"/>
    </row>
    <row r="192" spans="1:3" x14ac:dyDescent="0.35">
      <c r="A192" s="34"/>
      <c r="C192" s="34"/>
    </row>
    <row r="193" spans="1:3" x14ac:dyDescent="0.35">
      <c r="A193" s="34"/>
      <c r="C193" s="34"/>
    </row>
    <row r="194" spans="1:3" x14ac:dyDescent="0.35">
      <c r="A194" s="34"/>
      <c r="C194" s="34"/>
    </row>
    <row r="195" spans="1:3" x14ac:dyDescent="0.35">
      <c r="A195" s="34"/>
      <c r="C195" s="34"/>
    </row>
    <row r="196" spans="1:3" x14ac:dyDescent="0.35">
      <c r="A196" s="34"/>
      <c r="C196" s="34"/>
    </row>
    <row r="197" spans="1:3" x14ac:dyDescent="0.35">
      <c r="A197" s="34"/>
      <c r="C197" s="34"/>
    </row>
    <row r="198" spans="1:3" x14ac:dyDescent="0.35">
      <c r="A198" s="34"/>
      <c r="C198" s="34"/>
    </row>
    <row r="199" spans="1:3" x14ac:dyDescent="0.35">
      <c r="A199" s="34"/>
      <c r="C199" s="34"/>
    </row>
    <row r="200" spans="1:3" x14ac:dyDescent="0.35">
      <c r="A200" s="34"/>
      <c r="C200" s="34"/>
    </row>
  </sheetData>
  <mergeCells count="7">
    <mergeCell ref="A25:E25"/>
    <mergeCell ref="A1:E1"/>
    <mergeCell ref="A2:E2"/>
    <mergeCell ref="A5:E5"/>
    <mergeCell ref="A9:E9"/>
    <mergeCell ref="A13:E13"/>
    <mergeCell ref="A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3E53-C955-42F4-8D69-7F0ACE5595FA}">
  <dimension ref="A1:E19"/>
  <sheetViews>
    <sheetView workbookViewId="0">
      <pane ySplit="4" topLeftCell="A5" activePane="bottomLeft" state="frozen"/>
      <selection pane="bottomLeft" activeCell="C12" sqref="C12"/>
    </sheetView>
  </sheetViews>
  <sheetFormatPr defaultRowHeight="14.5" x14ac:dyDescent="0.35"/>
  <cols>
    <col min="1" max="1" width="6.54296875" customWidth="1"/>
    <col min="2" max="2" width="61.81640625" customWidth="1"/>
    <col min="3" max="3" width="78.1796875" customWidth="1"/>
    <col min="4" max="4" width="50.90625" customWidth="1"/>
    <col min="5" max="5" width="27.26953125" customWidth="1"/>
  </cols>
  <sheetData>
    <row r="1" spans="1:5" ht="18.5" x14ac:dyDescent="0.45">
      <c r="A1" s="2" t="s">
        <v>1523</v>
      </c>
    </row>
    <row r="2" spans="1:5" x14ac:dyDescent="0.35">
      <c r="A2" s="3" t="s">
        <v>1524</v>
      </c>
    </row>
    <row r="4" spans="1:5" x14ac:dyDescent="0.35">
      <c r="A4" s="20" t="s">
        <v>228</v>
      </c>
      <c r="B4" s="20" t="s">
        <v>365</v>
      </c>
      <c r="C4" s="20" t="s">
        <v>366</v>
      </c>
      <c r="D4" s="20" t="s">
        <v>1525</v>
      </c>
      <c r="E4" s="20" t="s">
        <v>368</v>
      </c>
    </row>
    <row r="5" spans="1:5" ht="43.5" x14ac:dyDescent="0.35">
      <c r="A5" s="21">
        <v>1</v>
      </c>
      <c r="B5" s="22" t="s">
        <v>369</v>
      </c>
      <c r="C5" s="22" t="s">
        <v>1526</v>
      </c>
      <c r="D5" s="22" t="s">
        <v>371</v>
      </c>
      <c r="E5" s="21" t="s">
        <v>372</v>
      </c>
    </row>
    <row r="6" spans="1:5" ht="29" x14ac:dyDescent="0.35">
      <c r="A6" s="21">
        <v>2</v>
      </c>
      <c r="B6" s="22" t="s">
        <v>1527</v>
      </c>
      <c r="C6" s="22" t="s">
        <v>1528</v>
      </c>
      <c r="D6" s="22" t="s">
        <v>1529</v>
      </c>
      <c r="E6" s="21" t="s">
        <v>372</v>
      </c>
    </row>
    <row r="7" spans="1:5" ht="29" x14ac:dyDescent="0.35">
      <c r="A7" s="21">
        <v>3</v>
      </c>
      <c r="B7" s="22" t="s">
        <v>1530</v>
      </c>
      <c r="C7" s="22" t="s">
        <v>1531</v>
      </c>
      <c r="D7" s="22" t="s">
        <v>1049</v>
      </c>
      <c r="E7" s="21" t="s">
        <v>382</v>
      </c>
    </row>
    <row r="8" spans="1:5" ht="29" x14ac:dyDescent="0.35">
      <c r="A8" s="21">
        <v>4</v>
      </c>
      <c r="B8" s="22" t="s">
        <v>1126</v>
      </c>
      <c r="C8" s="22" t="s">
        <v>1532</v>
      </c>
      <c r="D8" s="22" t="s">
        <v>1126</v>
      </c>
      <c r="E8" s="21" t="s">
        <v>382</v>
      </c>
    </row>
    <row r="9" spans="1:5" ht="29" x14ac:dyDescent="0.35">
      <c r="A9" s="21">
        <v>5</v>
      </c>
      <c r="B9" s="22" t="s">
        <v>1533</v>
      </c>
      <c r="C9" s="22" t="s">
        <v>1534</v>
      </c>
      <c r="D9" s="22" t="s">
        <v>1315</v>
      </c>
      <c r="E9" s="21" t="s">
        <v>382</v>
      </c>
    </row>
    <row r="10" spans="1:5" ht="29" x14ac:dyDescent="0.35">
      <c r="A10" s="21">
        <v>6</v>
      </c>
      <c r="B10" s="22" t="s">
        <v>1535</v>
      </c>
      <c r="C10" s="22" t="s">
        <v>1536</v>
      </c>
      <c r="D10" s="22" t="s">
        <v>1230</v>
      </c>
      <c r="E10" s="21" t="s">
        <v>382</v>
      </c>
    </row>
    <row r="11" spans="1:5" ht="29" x14ac:dyDescent="0.35">
      <c r="A11" s="21">
        <v>7</v>
      </c>
      <c r="B11" s="22" t="s">
        <v>1537</v>
      </c>
      <c r="C11" s="22" t="s">
        <v>1538</v>
      </c>
      <c r="D11" s="22" t="s">
        <v>1274</v>
      </c>
      <c r="E11" s="21" t="s">
        <v>382</v>
      </c>
    </row>
    <row r="12" spans="1:5" ht="29" x14ac:dyDescent="0.35">
      <c r="A12" s="21">
        <v>8</v>
      </c>
      <c r="B12" s="22" t="s">
        <v>1539</v>
      </c>
      <c r="C12" s="22" t="s">
        <v>1540</v>
      </c>
      <c r="D12" s="22" t="s">
        <v>1343</v>
      </c>
      <c r="E12" s="21" t="s">
        <v>382</v>
      </c>
    </row>
    <row r="13" spans="1:5" ht="29" x14ac:dyDescent="0.35">
      <c r="A13" s="21">
        <v>9</v>
      </c>
      <c r="B13" s="22" t="s">
        <v>1541</v>
      </c>
      <c r="C13" s="22" t="s">
        <v>1542</v>
      </c>
      <c r="D13" s="22" t="s">
        <v>1184</v>
      </c>
      <c r="E13" s="21" t="s">
        <v>372</v>
      </c>
    </row>
    <row r="14" spans="1:5" ht="29" x14ac:dyDescent="0.35">
      <c r="A14" s="21">
        <v>10</v>
      </c>
      <c r="B14" s="22" t="s">
        <v>1543</v>
      </c>
      <c r="C14" s="22" t="s">
        <v>1544</v>
      </c>
      <c r="D14" s="22" t="s">
        <v>1545</v>
      </c>
      <c r="E14" s="21" t="s">
        <v>397</v>
      </c>
    </row>
    <row r="15" spans="1:5" ht="29" x14ac:dyDescent="0.35">
      <c r="A15" s="21">
        <v>11</v>
      </c>
      <c r="B15" s="22" t="s">
        <v>1546</v>
      </c>
      <c r="C15" s="22" t="s">
        <v>1547</v>
      </c>
      <c r="D15" s="22" t="s">
        <v>1548</v>
      </c>
      <c r="E15" s="21" t="s">
        <v>372</v>
      </c>
    </row>
    <row r="16" spans="1:5" ht="43.5" x14ac:dyDescent="0.35">
      <c r="A16" s="25">
        <v>12</v>
      </c>
      <c r="B16" s="26" t="s">
        <v>1549</v>
      </c>
      <c r="C16" s="24" t="s">
        <v>1550</v>
      </c>
      <c r="D16" s="24" t="s">
        <v>1473</v>
      </c>
      <c r="E16" s="23" t="s">
        <v>1551</v>
      </c>
    </row>
    <row r="17" spans="1:5" ht="29" x14ac:dyDescent="0.35">
      <c r="A17" s="21">
        <v>13</v>
      </c>
      <c r="B17" s="22" t="s">
        <v>1498</v>
      </c>
      <c r="C17" s="22" t="s">
        <v>1552</v>
      </c>
      <c r="D17" s="22" t="s">
        <v>1498</v>
      </c>
      <c r="E17" s="21" t="s">
        <v>372</v>
      </c>
    </row>
    <row r="18" spans="1:5" ht="29" x14ac:dyDescent="0.35">
      <c r="A18" s="23">
        <v>14</v>
      </c>
      <c r="B18" s="24" t="s">
        <v>398</v>
      </c>
      <c r="C18" s="24" t="s">
        <v>1553</v>
      </c>
      <c r="D18" s="24" t="s">
        <v>400</v>
      </c>
      <c r="E18" s="23" t="s">
        <v>372</v>
      </c>
    </row>
    <row r="19" spans="1:5" ht="29" x14ac:dyDescent="0.35">
      <c r="A19" s="21">
        <v>15</v>
      </c>
      <c r="B19" s="22" t="s">
        <v>402</v>
      </c>
      <c r="C19" s="22" t="s">
        <v>1554</v>
      </c>
      <c r="D19" s="22" t="s">
        <v>371</v>
      </c>
      <c r="E19" s="21" t="s">
        <v>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B8D0-76A0-45E1-A0B1-8A213987C4E5}">
  <dimension ref="A1:O37"/>
  <sheetViews>
    <sheetView tabSelected="1" workbookViewId="0">
      <pane ySplit="4" topLeftCell="A5" activePane="bottomLeft" state="frozen"/>
      <selection pane="bottomLeft" activeCell="B21" sqref="B21"/>
    </sheetView>
  </sheetViews>
  <sheetFormatPr defaultRowHeight="14.5" x14ac:dyDescent="0.35"/>
  <cols>
    <col min="1" max="1" width="4.54296875" customWidth="1"/>
    <col min="2" max="2" width="49.08984375" customWidth="1"/>
    <col min="3" max="3" width="12.7265625" customWidth="1"/>
    <col min="4" max="4" width="25.453125" customWidth="1"/>
    <col min="5" max="5" width="14.81640625" bestFit="1" customWidth="1"/>
    <col min="6" max="10" width="12.7265625" customWidth="1"/>
    <col min="11" max="11" width="30.90625" customWidth="1"/>
    <col min="12" max="14" width="11.81640625" customWidth="1"/>
    <col min="15" max="15" width="54.54296875" customWidth="1"/>
  </cols>
  <sheetData>
    <row r="1" spans="1:15" ht="18.5" x14ac:dyDescent="0.45">
      <c r="A1" s="2" t="s">
        <v>2949</v>
      </c>
    </row>
    <row r="2" spans="1:15" ht="45" customHeight="1" x14ac:dyDescent="0.35">
      <c r="A2" s="72" t="s">
        <v>2950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4" spans="1:15" ht="58" x14ac:dyDescent="0.35">
      <c r="A4" s="54" t="s">
        <v>228</v>
      </c>
      <c r="B4" s="54" t="s">
        <v>4</v>
      </c>
      <c r="C4" s="54" t="s">
        <v>267</v>
      </c>
      <c r="D4" s="54" t="s">
        <v>2951</v>
      </c>
      <c r="E4" s="54" t="s">
        <v>2952</v>
      </c>
      <c r="F4" s="54" t="s">
        <v>2953</v>
      </c>
      <c r="G4" s="54" t="s">
        <v>2954</v>
      </c>
      <c r="H4" s="54" t="s">
        <v>2955</v>
      </c>
      <c r="I4" s="54" t="s">
        <v>2956</v>
      </c>
      <c r="J4" s="54" t="s">
        <v>2957</v>
      </c>
      <c r="K4" s="54" t="s">
        <v>2958</v>
      </c>
      <c r="L4" s="54" t="s">
        <v>2959</v>
      </c>
      <c r="M4" s="54" t="s">
        <v>2960</v>
      </c>
      <c r="N4" s="54" t="s">
        <v>2961</v>
      </c>
      <c r="O4" s="54" t="s">
        <v>2962</v>
      </c>
    </row>
    <row r="5" spans="1:15" x14ac:dyDescent="0.35">
      <c r="A5" s="56">
        <v>1</v>
      </c>
      <c r="B5" s="55" t="s">
        <v>2963</v>
      </c>
      <c r="C5" s="55" t="s">
        <v>2093</v>
      </c>
      <c r="D5" s="55" t="s">
        <v>1943</v>
      </c>
      <c r="E5" s="56" t="s">
        <v>2964</v>
      </c>
      <c r="F5" s="56" t="s">
        <v>2964</v>
      </c>
      <c r="G5" s="56" t="s">
        <v>2965</v>
      </c>
      <c r="H5" s="56" t="s">
        <v>275</v>
      </c>
      <c r="I5" s="56" t="s">
        <v>272</v>
      </c>
      <c r="J5" s="56" t="s">
        <v>285</v>
      </c>
      <c r="K5" s="56" t="s">
        <v>2966</v>
      </c>
      <c r="L5" s="56">
        <f>COUNTIF('Survey 1 Papers'!$E:$E,"*"&amp;$K5&amp;"*")</f>
        <v>0</v>
      </c>
      <c r="M5" s="56">
        <f>COUNTIF('Survey 2 Papers'!$E:$E,"*"&amp;$K5&amp;"*")</f>
        <v>0</v>
      </c>
      <c r="N5" s="56">
        <f>COUNTIF('Survey 3 Papers'!$E:$E,"*"&amp;$K5&amp;"*")</f>
        <v>0</v>
      </c>
      <c r="O5" s="55" t="s">
        <v>3034</v>
      </c>
    </row>
    <row r="6" spans="1:15" x14ac:dyDescent="0.35">
      <c r="A6" s="56">
        <v>2</v>
      </c>
      <c r="B6" s="55" t="s">
        <v>2967</v>
      </c>
      <c r="C6" s="55" t="s">
        <v>2093</v>
      </c>
      <c r="D6" s="55" t="s">
        <v>2968</v>
      </c>
      <c r="E6" s="56" t="s">
        <v>2964</v>
      </c>
      <c r="F6" s="56" t="s">
        <v>2964</v>
      </c>
      <c r="G6" s="56" t="s">
        <v>2965</v>
      </c>
      <c r="H6" s="56" t="s">
        <v>275</v>
      </c>
      <c r="I6" s="56" t="s">
        <v>275</v>
      </c>
      <c r="J6" s="56" t="s">
        <v>285</v>
      </c>
      <c r="K6" s="56" t="s">
        <v>2969</v>
      </c>
      <c r="L6" s="56">
        <f>COUNTIF('Survey 1 Papers'!$E:$E,"*"&amp;$K6&amp;"*")</f>
        <v>0</v>
      </c>
      <c r="M6" s="56">
        <f>COUNTIF('Survey 2 Papers'!$E:$E,"*"&amp;$K6&amp;"*")</f>
        <v>0</v>
      </c>
      <c r="N6" s="56">
        <f>COUNTIF('Survey 3 Papers'!$E:$E,"*"&amp;$K6&amp;"*")</f>
        <v>0</v>
      </c>
      <c r="O6" s="55" t="s">
        <v>3035</v>
      </c>
    </row>
    <row r="7" spans="1:15" x14ac:dyDescent="0.35">
      <c r="A7" s="56">
        <v>3</v>
      </c>
      <c r="B7" s="55" t="s">
        <v>2970</v>
      </c>
      <c r="C7" s="55" t="s">
        <v>2093</v>
      </c>
      <c r="D7" s="55" t="s">
        <v>2971</v>
      </c>
      <c r="E7" s="56" t="s">
        <v>2964</v>
      </c>
      <c r="F7" s="56" t="s">
        <v>2964</v>
      </c>
      <c r="G7" s="56" t="s">
        <v>2965</v>
      </c>
      <c r="H7" s="56" t="s">
        <v>275</v>
      </c>
      <c r="I7" s="56" t="s">
        <v>275</v>
      </c>
      <c r="J7" s="56" t="s">
        <v>285</v>
      </c>
      <c r="K7" s="56" t="s">
        <v>2972</v>
      </c>
      <c r="L7" s="56">
        <f>COUNTIF('Survey 1 Papers'!$E:$E,"*"&amp;$K7&amp;"*")</f>
        <v>1</v>
      </c>
      <c r="M7" s="56">
        <f>COUNTIF('Survey 2 Papers'!$E:$E,"*"&amp;$K7&amp;"*")</f>
        <v>0</v>
      </c>
      <c r="N7" s="56">
        <f>COUNTIF('Survey 3 Papers'!$E:$E,"*"&amp;$K7&amp;"*")</f>
        <v>0</v>
      </c>
      <c r="O7" s="55" t="s">
        <v>3034</v>
      </c>
    </row>
    <row r="8" spans="1:15" x14ac:dyDescent="0.35">
      <c r="A8" s="56">
        <v>4</v>
      </c>
      <c r="B8" s="55" t="s">
        <v>2973</v>
      </c>
      <c r="C8" s="55" t="s">
        <v>2093</v>
      </c>
      <c r="D8" s="55" t="s">
        <v>2974</v>
      </c>
      <c r="E8" s="56" t="s">
        <v>2964</v>
      </c>
      <c r="F8" s="56" t="s">
        <v>2964</v>
      </c>
      <c r="G8" s="56" t="s">
        <v>2965</v>
      </c>
      <c r="H8" s="56" t="s">
        <v>275</v>
      </c>
      <c r="I8" s="56" t="s">
        <v>272</v>
      </c>
      <c r="J8" s="56" t="s">
        <v>275</v>
      </c>
      <c r="K8" s="56" t="s">
        <v>2975</v>
      </c>
      <c r="L8" s="56">
        <f>COUNTIF('Survey 1 Papers'!$E:$E,"*"&amp;$K8&amp;"*")</f>
        <v>0</v>
      </c>
      <c r="M8" s="56">
        <f>COUNTIF('Survey 2 Papers'!$E:$E,"*"&amp;$K8&amp;"*")</f>
        <v>0</v>
      </c>
      <c r="N8" s="56">
        <f>COUNTIF('Survey 3 Papers'!$E:$E,"*"&amp;$K8&amp;"*")</f>
        <v>0</v>
      </c>
      <c r="O8" s="55" t="s">
        <v>3034</v>
      </c>
    </row>
    <row r="9" spans="1:15" x14ac:dyDescent="0.35">
      <c r="A9" s="56">
        <v>5</v>
      </c>
      <c r="B9" s="55" t="s">
        <v>2976</v>
      </c>
      <c r="C9" s="55" t="s">
        <v>2093</v>
      </c>
      <c r="D9" s="55" t="s">
        <v>329</v>
      </c>
      <c r="E9" s="56" t="s">
        <v>2964</v>
      </c>
      <c r="F9" s="56" t="s">
        <v>2964</v>
      </c>
      <c r="G9" s="56" t="s">
        <v>2965</v>
      </c>
      <c r="H9" s="56" t="s">
        <v>275</v>
      </c>
      <c r="I9" s="56" t="s">
        <v>275</v>
      </c>
      <c r="J9" s="56" t="s">
        <v>285</v>
      </c>
      <c r="K9" s="56" t="s">
        <v>2976</v>
      </c>
      <c r="L9" s="56">
        <f>COUNTIF('Survey 1 Papers'!$E:$E,"*"&amp;$K9&amp;"*")</f>
        <v>0</v>
      </c>
      <c r="M9" s="56">
        <f>COUNTIF('Survey 2 Papers'!$E:$E,"*"&amp;$K9&amp;"*")</f>
        <v>0</v>
      </c>
      <c r="N9" s="56">
        <f>COUNTIF('Survey 3 Papers'!$E:$E,"*"&amp;$K9&amp;"*")</f>
        <v>0</v>
      </c>
      <c r="O9" s="55" t="s">
        <v>3034</v>
      </c>
    </row>
    <row r="10" spans="1:15" x14ac:dyDescent="0.35">
      <c r="A10" s="56">
        <v>6</v>
      </c>
      <c r="B10" s="55" t="s">
        <v>2977</v>
      </c>
      <c r="C10" s="55" t="s">
        <v>2093</v>
      </c>
      <c r="D10" s="55" t="s">
        <v>329</v>
      </c>
      <c r="E10" s="56" t="s">
        <v>2964</v>
      </c>
      <c r="F10" s="56" t="s">
        <v>2964</v>
      </c>
      <c r="G10" s="56" t="s">
        <v>2978</v>
      </c>
      <c r="H10" s="56" t="s">
        <v>285</v>
      </c>
      <c r="I10" s="56" t="s">
        <v>275</v>
      </c>
      <c r="J10" s="56" t="s">
        <v>285</v>
      </c>
      <c r="K10" s="56" t="s">
        <v>2979</v>
      </c>
      <c r="L10" s="56">
        <f>COUNTIF('Survey 1 Papers'!$E:$E,"*"&amp;$K10&amp;"*")</f>
        <v>0</v>
      </c>
      <c r="M10" s="56">
        <f>COUNTIF('Survey 2 Papers'!$E:$E,"*"&amp;$K10&amp;"*")</f>
        <v>0</v>
      </c>
      <c r="N10" s="56">
        <f>COUNTIF('Survey 3 Papers'!$E:$E,"*"&amp;$K10&amp;"*")</f>
        <v>0</v>
      </c>
      <c r="O10" s="55" t="s">
        <v>3034</v>
      </c>
    </row>
    <row r="11" spans="1:15" x14ac:dyDescent="0.35">
      <c r="A11" s="56">
        <v>7</v>
      </c>
      <c r="B11" s="55" t="s">
        <v>2980</v>
      </c>
      <c r="C11" s="55" t="s">
        <v>2093</v>
      </c>
      <c r="D11" s="55" t="s">
        <v>2981</v>
      </c>
      <c r="E11" s="56" t="s">
        <v>2964</v>
      </c>
      <c r="F11" s="56" t="s">
        <v>2964</v>
      </c>
      <c r="G11" s="56" t="s">
        <v>2978</v>
      </c>
      <c r="H11" s="56" t="s">
        <v>285</v>
      </c>
      <c r="I11" s="56" t="s">
        <v>275</v>
      </c>
      <c r="J11" s="56" t="s">
        <v>275</v>
      </c>
      <c r="K11" s="56" t="s">
        <v>2980</v>
      </c>
      <c r="L11" s="56">
        <f>COUNTIF('Survey 1 Papers'!$E:$E,"*"&amp;$K11&amp;"*")</f>
        <v>1</v>
      </c>
      <c r="M11" s="56">
        <f>COUNTIF('Survey 2 Papers'!$E:$E,"*"&amp;$K11&amp;"*")</f>
        <v>1</v>
      </c>
      <c r="N11" s="56">
        <f>COUNTIF('Survey 3 Papers'!$E:$E,"*"&amp;$K11&amp;"*")</f>
        <v>0</v>
      </c>
      <c r="O11" s="55" t="s">
        <v>3034</v>
      </c>
    </row>
    <row r="12" spans="1:15" x14ac:dyDescent="0.35">
      <c r="A12" s="56">
        <v>8</v>
      </c>
      <c r="B12" s="55" t="s">
        <v>2982</v>
      </c>
      <c r="C12" s="55" t="s">
        <v>2093</v>
      </c>
      <c r="D12" s="55" t="s">
        <v>2983</v>
      </c>
      <c r="E12" s="56" t="s">
        <v>2964</v>
      </c>
      <c r="F12" s="56" t="s">
        <v>2964</v>
      </c>
      <c r="G12" s="56" t="s">
        <v>2978</v>
      </c>
      <c r="H12" s="56" t="s">
        <v>275</v>
      </c>
      <c r="I12" s="56" t="s">
        <v>275</v>
      </c>
      <c r="J12" s="56" t="s">
        <v>275</v>
      </c>
      <c r="K12" s="56" t="s">
        <v>2982</v>
      </c>
      <c r="L12" s="56">
        <f>COUNTIF('Survey 1 Papers'!$E:$E,"*"&amp;$K12&amp;"*")</f>
        <v>0</v>
      </c>
      <c r="M12" s="56">
        <f>COUNTIF('Survey 2 Papers'!$E:$E,"*"&amp;$K12&amp;"*")</f>
        <v>0</v>
      </c>
      <c r="N12" s="56">
        <f>COUNTIF('Survey 3 Papers'!$E:$E,"*"&amp;$K12&amp;"*")</f>
        <v>0</v>
      </c>
      <c r="O12" s="55" t="s">
        <v>3034</v>
      </c>
    </row>
    <row r="13" spans="1:15" x14ac:dyDescent="0.35">
      <c r="A13" s="56">
        <v>9</v>
      </c>
      <c r="B13" s="55" t="s">
        <v>2984</v>
      </c>
      <c r="C13" s="55" t="s">
        <v>2093</v>
      </c>
      <c r="D13" s="55" t="s">
        <v>329</v>
      </c>
      <c r="E13" s="56" t="s">
        <v>2964</v>
      </c>
      <c r="F13" s="56" t="s">
        <v>2964</v>
      </c>
      <c r="G13" s="56" t="s">
        <v>2978</v>
      </c>
      <c r="H13" s="56" t="s">
        <v>275</v>
      </c>
      <c r="I13" s="56" t="s">
        <v>285</v>
      </c>
      <c r="J13" s="56" t="s">
        <v>275</v>
      </c>
      <c r="K13" s="56" t="s">
        <v>2984</v>
      </c>
      <c r="L13" s="56">
        <f>COUNTIF('Survey 1 Papers'!$E:$E,"*"&amp;$K13&amp;"*")</f>
        <v>0</v>
      </c>
      <c r="M13" s="56">
        <f>COUNTIF('Survey 2 Papers'!$E:$E,"*"&amp;$K13&amp;"*")</f>
        <v>0</v>
      </c>
      <c r="N13" s="56">
        <f>COUNTIF('Survey 3 Papers'!$E:$E,"*"&amp;$K13&amp;"*")</f>
        <v>0</v>
      </c>
      <c r="O13" s="55" t="s">
        <v>3036</v>
      </c>
    </row>
    <row r="14" spans="1:15" x14ac:dyDescent="0.35">
      <c r="A14" s="56">
        <v>10</v>
      </c>
      <c r="B14" s="55" t="s">
        <v>2985</v>
      </c>
      <c r="C14" s="55" t="s">
        <v>2093</v>
      </c>
      <c r="D14" s="55" t="s">
        <v>2986</v>
      </c>
      <c r="E14" s="56" t="s">
        <v>2964</v>
      </c>
      <c r="F14" s="56" t="s">
        <v>2964</v>
      </c>
      <c r="G14" s="56" t="s">
        <v>2978</v>
      </c>
      <c r="H14" s="56" t="s">
        <v>275</v>
      </c>
      <c r="I14" s="56" t="s">
        <v>272</v>
      </c>
      <c r="J14" s="56" t="s">
        <v>272</v>
      </c>
      <c r="K14" s="56" t="s">
        <v>2985</v>
      </c>
      <c r="L14" s="56">
        <f>COUNTIF('Survey 1 Papers'!$E:$E,"*"&amp;$K14&amp;"*")</f>
        <v>0</v>
      </c>
      <c r="M14" s="56">
        <f>COUNTIF('Survey 2 Papers'!$E:$E,"*"&amp;$K14&amp;"*")</f>
        <v>0</v>
      </c>
      <c r="N14" s="56">
        <f>COUNTIF('Survey 3 Papers'!$E:$E,"*"&amp;$K14&amp;"*")</f>
        <v>0</v>
      </c>
      <c r="O14" s="55" t="s">
        <v>3037</v>
      </c>
    </row>
    <row r="15" spans="1:15" x14ac:dyDescent="0.35">
      <c r="A15" s="56">
        <v>11</v>
      </c>
      <c r="B15" s="55" t="s">
        <v>2987</v>
      </c>
      <c r="C15" s="55" t="s">
        <v>2093</v>
      </c>
      <c r="D15" s="55" t="s">
        <v>2988</v>
      </c>
      <c r="E15" s="56" t="s">
        <v>2964</v>
      </c>
      <c r="F15" s="56" t="s">
        <v>2964</v>
      </c>
      <c r="G15" s="56" t="s">
        <v>2978</v>
      </c>
      <c r="H15" s="56" t="s">
        <v>285</v>
      </c>
      <c r="I15" s="56" t="s">
        <v>285</v>
      </c>
      <c r="J15" s="56" t="s">
        <v>275</v>
      </c>
      <c r="K15" s="56" t="s">
        <v>2987</v>
      </c>
      <c r="L15" s="56">
        <f>COUNTIF('Survey 1 Papers'!$E:$E,"*"&amp;$K15&amp;"*")</f>
        <v>8</v>
      </c>
      <c r="M15" s="56">
        <f>COUNTIF('Survey 2 Papers'!$E:$E,"*"&amp;$K15&amp;"*")</f>
        <v>8</v>
      </c>
      <c r="N15" s="56">
        <f>COUNTIF('Survey 3 Papers'!$E:$E,"*"&amp;$K15&amp;"*")</f>
        <v>0</v>
      </c>
      <c r="O15" s="55" t="s">
        <v>3038</v>
      </c>
    </row>
    <row r="16" spans="1:15" x14ac:dyDescent="0.35">
      <c r="A16" s="56">
        <v>12</v>
      </c>
      <c r="B16" s="55" t="s">
        <v>2989</v>
      </c>
      <c r="C16" s="55" t="s">
        <v>2093</v>
      </c>
      <c r="D16" s="55" t="s">
        <v>329</v>
      </c>
      <c r="E16" s="56" t="s">
        <v>2990</v>
      </c>
      <c r="F16" s="56" t="s">
        <v>2964</v>
      </c>
      <c r="G16" s="56" t="s">
        <v>2965</v>
      </c>
      <c r="H16" s="56" t="s">
        <v>285</v>
      </c>
      <c r="I16" s="56" t="s">
        <v>285</v>
      </c>
      <c r="J16" s="56" t="s">
        <v>272</v>
      </c>
      <c r="K16" s="56" t="s">
        <v>2989</v>
      </c>
      <c r="L16" s="56">
        <f>COUNTIF('Survey 1 Papers'!$E:$E,"*"&amp;$K16&amp;"*")</f>
        <v>2</v>
      </c>
      <c r="M16" s="56">
        <f>COUNTIF('Survey 2 Papers'!$E:$E,"*"&amp;$K16&amp;"*")</f>
        <v>2</v>
      </c>
      <c r="N16" s="56">
        <f>COUNTIF('Survey 3 Papers'!$E:$E,"*"&amp;$K16&amp;"*")</f>
        <v>0</v>
      </c>
      <c r="O16" s="55" t="s">
        <v>3039</v>
      </c>
    </row>
    <row r="17" spans="1:15" x14ac:dyDescent="0.35">
      <c r="A17" s="56">
        <v>13</v>
      </c>
      <c r="B17" s="55" t="s">
        <v>2991</v>
      </c>
      <c r="C17" s="55" t="s">
        <v>2093</v>
      </c>
      <c r="D17" s="55" t="s">
        <v>2992</v>
      </c>
      <c r="E17" s="56" t="s">
        <v>2964</v>
      </c>
      <c r="F17" s="56" t="s">
        <v>2964</v>
      </c>
      <c r="G17" s="56" t="s">
        <v>2965</v>
      </c>
      <c r="H17" s="56" t="s">
        <v>285</v>
      </c>
      <c r="I17" s="56" t="s">
        <v>275</v>
      </c>
      <c r="J17" s="56" t="s">
        <v>285</v>
      </c>
      <c r="K17" s="56" t="s">
        <v>2993</v>
      </c>
      <c r="L17" s="56">
        <f>COUNTIF('Survey 1 Papers'!$E:$E,"*"&amp;$K17&amp;"*")</f>
        <v>0</v>
      </c>
      <c r="M17" s="56">
        <f>COUNTIF('Survey 2 Papers'!$E:$E,"*"&amp;$K17&amp;"*")</f>
        <v>1</v>
      </c>
      <c r="N17" s="56">
        <f>COUNTIF('Survey 3 Papers'!$E:$E,"*"&amp;$K17&amp;"*")</f>
        <v>1</v>
      </c>
      <c r="O17" s="55" t="s">
        <v>3040</v>
      </c>
    </row>
    <row r="18" spans="1:15" x14ac:dyDescent="0.35">
      <c r="A18" s="56">
        <v>14</v>
      </c>
      <c r="B18" s="55" t="s">
        <v>2994</v>
      </c>
      <c r="C18" s="55" t="s">
        <v>2093</v>
      </c>
      <c r="D18" s="55" t="s">
        <v>329</v>
      </c>
      <c r="E18" s="56" t="s">
        <v>2964</v>
      </c>
      <c r="F18" s="56" t="s">
        <v>2964</v>
      </c>
      <c r="G18" s="56" t="s">
        <v>2978</v>
      </c>
      <c r="H18" s="56" t="s">
        <v>285</v>
      </c>
      <c r="I18" s="56" t="s">
        <v>275</v>
      </c>
      <c r="J18" s="56" t="s">
        <v>272</v>
      </c>
      <c r="K18" s="56" t="s">
        <v>2994</v>
      </c>
      <c r="L18" s="56">
        <f>COUNTIF('Survey 1 Papers'!$E:$E,"*"&amp;$K18&amp;"*")</f>
        <v>0</v>
      </c>
      <c r="M18" s="56">
        <f>COUNTIF('Survey 2 Papers'!$E:$E,"*"&amp;$K18&amp;"*")</f>
        <v>0</v>
      </c>
      <c r="N18" s="56">
        <f>COUNTIF('Survey 3 Papers'!$E:$E,"*"&amp;$K18&amp;"*")</f>
        <v>0</v>
      </c>
      <c r="O18" s="55" t="s">
        <v>3041</v>
      </c>
    </row>
    <row r="19" spans="1:15" x14ac:dyDescent="0.35">
      <c r="A19" s="56">
        <v>15</v>
      </c>
      <c r="B19" s="55" t="s">
        <v>2995</v>
      </c>
      <c r="C19" s="55" t="s">
        <v>2093</v>
      </c>
      <c r="D19" s="55" t="s">
        <v>2968</v>
      </c>
      <c r="E19" s="56" t="s">
        <v>2996</v>
      </c>
      <c r="F19" s="56" t="s">
        <v>2964</v>
      </c>
      <c r="G19" s="56" t="s">
        <v>2978</v>
      </c>
      <c r="H19" s="56" t="s">
        <v>285</v>
      </c>
      <c r="I19" s="56" t="s">
        <v>272</v>
      </c>
      <c r="J19" s="56" t="s">
        <v>272</v>
      </c>
      <c r="K19" s="56" t="s">
        <v>2997</v>
      </c>
      <c r="L19" s="56">
        <f>COUNTIF('Survey 1 Papers'!$E:$E,"*"&amp;$K19&amp;"*")</f>
        <v>0</v>
      </c>
      <c r="M19" s="56">
        <f>COUNTIF('Survey 2 Papers'!$E:$E,"*"&amp;$K19&amp;"*")</f>
        <v>0</v>
      </c>
      <c r="N19" s="56">
        <f>COUNTIF('Survey 3 Papers'!$E:$E,"*"&amp;$K19&amp;"*")</f>
        <v>0</v>
      </c>
      <c r="O19" s="55" t="s">
        <v>3042</v>
      </c>
    </row>
    <row r="20" spans="1:15" x14ac:dyDescent="0.35">
      <c r="A20" s="56">
        <v>16</v>
      </c>
      <c r="B20" s="55" t="s">
        <v>2998</v>
      </c>
      <c r="C20" s="55" t="s">
        <v>2093</v>
      </c>
      <c r="D20" s="55" t="s">
        <v>2974</v>
      </c>
      <c r="E20" s="56" t="s">
        <v>2964</v>
      </c>
      <c r="F20" s="56" t="s">
        <v>2964</v>
      </c>
      <c r="G20" s="56" t="s">
        <v>2978</v>
      </c>
      <c r="H20" s="56" t="s">
        <v>285</v>
      </c>
      <c r="I20" s="56" t="s">
        <v>275</v>
      </c>
      <c r="J20" s="56" t="s">
        <v>285</v>
      </c>
      <c r="K20" s="56" t="s">
        <v>2998</v>
      </c>
      <c r="L20" s="56">
        <f>COUNTIF('Survey 1 Papers'!$E:$E,"*"&amp;$K20&amp;"*")</f>
        <v>3</v>
      </c>
      <c r="M20" s="56">
        <f>COUNTIF('Survey 2 Papers'!$E:$E,"*"&amp;$K20&amp;"*")</f>
        <v>0</v>
      </c>
      <c r="N20" s="56">
        <f>COUNTIF('Survey 3 Papers'!$E:$E,"*"&amp;$K20&amp;"*")</f>
        <v>0</v>
      </c>
      <c r="O20" s="55" t="s">
        <v>3041</v>
      </c>
    </row>
    <row r="21" spans="1:15" x14ac:dyDescent="0.35">
      <c r="A21" s="56">
        <v>17</v>
      </c>
      <c r="B21" s="55" t="s">
        <v>2999</v>
      </c>
      <c r="C21" s="55" t="s">
        <v>2093</v>
      </c>
      <c r="D21" s="55" t="s">
        <v>2968</v>
      </c>
      <c r="E21" s="56" t="s">
        <v>2964</v>
      </c>
      <c r="F21" s="56" t="s">
        <v>2964</v>
      </c>
      <c r="G21" s="56" t="s">
        <v>2978</v>
      </c>
      <c r="H21" s="56" t="s">
        <v>275</v>
      </c>
      <c r="I21" s="56" t="s">
        <v>275</v>
      </c>
      <c r="J21" s="56" t="s">
        <v>275</v>
      </c>
      <c r="K21" s="56" t="s">
        <v>2999</v>
      </c>
      <c r="L21" s="56">
        <f>COUNTIF('Survey 1 Papers'!$E:$E,"*"&amp;$K21&amp;"*")</f>
        <v>2</v>
      </c>
      <c r="M21" s="56">
        <f>COUNTIF('Survey 2 Papers'!$E:$E,"*"&amp;$K21&amp;"*")</f>
        <v>3</v>
      </c>
      <c r="N21" s="56">
        <f>COUNTIF('Survey 3 Papers'!$E:$E,"*"&amp;$K21&amp;"*")</f>
        <v>0</v>
      </c>
      <c r="O21" s="55" t="s">
        <v>3043</v>
      </c>
    </row>
    <row r="22" spans="1:15" x14ac:dyDescent="0.35">
      <c r="A22" s="56">
        <v>18</v>
      </c>
      <c r="B22" s="55" t="s">
        <v>3000</v>
      </c>
      <c r="C22" s="55" t="s">
        <v>2093</v>
      </c>
      <c r="D22" s="55" t="s">
        <v>2968</v>
      </c>
      <c r="E22" s="56" t="s">
        <v>2964</v>
      </c>
      <c r="F22" s="56" t="s">
        <v>2964</v>
      </c>
      <c r="G22" s="56" t="s">
        <v>2965</v>
      </c>
      <c r="H22" s="56" t="s">
        <v>272</v>
      </c>
      <c r="I22" s="56" t="s">
        <v>285</v>
      </c>
      <c r="J22" s="56" t="s">
        <v>275</v>
      </c>
      <c r="K22" s="56" t="s">
        <v>3001</v>
      </c>
      <c r="L22" s="56">
        <f>COUNTIF('Survey 1 Papers'!$E:$E,"*"&amp;$K22&amp;"*")</f>
        <v>0</v>
      </c>
      <c r="M22" s="56">
        <f>COUNTIF('Survey 2 Papers'!$E:$E,"*"&amp;$K22&amp;"*")</f>
        <v>0</v>
      </c>
      <c r="N22" s="56">
        <f>COUNTIF('Survey 3 Papers'!$E:$E,"*"&amp;$K22&amp;"*")</f>
        <v>0</v>
      </c>
      <c r="O22" s="55" t="s">
        <v>3041</v>
      </c>
    </row>
    <row r="23" spans="1:15" x14ac:dyDescent="0.35">
      <c r="A23" s="56">
        <v>19</v>
      </c>
      <c r="B23" s="55" t="s">
        <v>3002</v>
      </c>
      <c r="C23" s="55" t="s">
        <v>2093</v>
      </c>
      <c r="D23" s="55" t="s">
        <v>2974</v>
      </c>
      <c r="E23" s="56" t="s">
        <v>2964</v>
      </c>
      <c r="F23" s="56" t="s">
        <v>2964</v>
      </c>
      <c r="G23" s="56" t="s">
        <v>2978</v>
      </c>
      <c r="H23" s="56" t="s">
        <v>272</v>
      </c>
      <c r="I23" s="56" t="s">
        <v>285</v>
      </c>
      <c r="J23" s="56" t="s">
        <v>272</v>
      </c>
      <c r="K23" s="56" t="s">
        <v>3002</v>
      </c>
      <c r="L23" s="56">
        <f>COUNTIF('Survey 1 Papers'!$E:$E,"*"&amp;$K23&amp;"*")</f>
        <v>0</v>
      </c>
      <c r="M23" s="56">
        <f>COUNTIF('Survey 2 Papers'!$E:$E,"*"&amp;$K23&amp;"*")</f>
        <v>0</v>
      </c>
      <c r="N23" s="56">
        <f>COUNTIF('Survey 3 Papers'!$E:$E,"*"&amp;$K23&amp;"*")</f>
        <v>0</v>
      </c>
      <c r="O23" s="55" t="s">
        <v>3041</v>
      </c>
    </row>
    <row r="24" spans="1:15" x14ac:dyDescent="0.35">
      <c r="A24" s="56">
        <v>20</v>
      </c>
      <c r="B24" s="55" t="s">
        <v>702</v>
      </c>
      <c r="C24" s="55" t="s">
        <v>2093</v>
      </c>
      <c r="D24" s="55" t="s">
        <v>2974</v>
      </c>
      <c r="E24" s="56" t="s">
        <v>2964</v>
      </c>
      <c r="F24" s="56" t="s">
        <v>2964</v>
      </c>
      <c r="G24" s="56" t="s">
        <v>2978</v>
      </c>
      <c r="H24" s="56" t="s">
        <v>272</v>
      </c>
      <c r="I24" s="56" t="s">
        <v>285</v>
      </c>
      <c r="J24" s="56" t="s">
        <v>272</v>
      </c>
      <c r="K24" s="56" t="s">
        <v>3003</v>
      </c>
      <c r="L24" s="56">
        <f>COUNTIF('Survey 1 Papers'!$E:$E,"*"&amp;$K24&amp;"*")</f>
        <v>0</v>
      </c>
      <c r="M24" s="56">
        <f>COUNTIF('Survey 2 Papers'!$E:$E,"*"&amp;$K24&amp;"*")</f>
        <v>9</v>
      </c>
      <c r="N24" s="56">
        <f>COUNTIF('Survey 3 Papers'!$E:$E,"*"&amp;$K24&amp;"*")</f>
        <v>0</v>
      </c>
      <c r="O24" s="55" t="s">
        <v>3044</v>
      </c>
    </row>
    <row r="25" spans="1:15" x14ac:dyDescent="0.35">
      <c r="A25" s="56">
        <v>21</v>
      </c>
      <c r="B25" s="55" t="s">
        <v>3004</v>
      </c>
      <c r="C25" s="55" t="s">
        <v>2093</v>
      </c>
      <c r="D25" s="55" t="s">
        <v>3005</v>
      </c>
      <c r="E25" s="56" t="s">
        <v>3006</v>
      </c>
      <c r="F25" s="56" t="s">
        <v>2964</v>
      </c>
      <c r="G25" s="56" t="s">
        <v>2978</v>
      </c>
      <c r="H25" s="56" t="s">
        <v>275</v>
      </c>
      <c r="I25" s="56" t="s">
        <v>285</v>
      </c>
      <c r="J25" s="56" t="s">
        <v>275</v>
      </c>
      <c r="K25" s="56" t="s">
        <v>3007</v>
      </c>
      <c r="L25" s="56">
        <f>COUNTIF('Survey 1 Papers'!$E:$E,"*"&amp;$K25&amp;"*")</f>
        <v>0</v>
      </c>
      <c r="M25" s="56">
        <f>COUNTIF('Survey 2 Papers'!$E:$E,"*"&amp;$K25&amp;"*")</f>
        <v>1</v>
      </c>
      <c r="N25" s="56">
        <f>COUNTIF('Survey 3 Papers'!$E:$E,"*"&amp;$K25&amp;"*")</f>
        <v>0</v>
      </c>
      <c r="O25" s="55" t="s">
        <v>3045</v>
      </c>
    </row>
    <row r="26" spans="1:15" x14ac:dyDescent="0.35">
      <c r="A26" s="56">
        <v>22</v>
      </c>
      <c r="B26" s="55" t="s">
        <v>3008</v>
      </c>
      <c r="C26" s="55" t="s">
        <v>2093</v>
      </c>
      <c r="D26" s="55" t="s">
        <v>2968</v>
      </c>
      <c r="E26" s="56" t="s">
        <v>2964</v>
      </c>
      <c r="F26" s="56" t="s">
        <v>2964</v>
      </c>
      <c r="G26" s="56" t="s">
        <v>2965</v>
      </c>
      <c r="H26" s="56" t="s">
        <v>272</v>
      </c>
      <c r="I26" s="56" t="s">
        <v>272</v>
      </c>
      <c r="J26" s="56" t="s">
        <v>285</v>
      </c>
      <c r="K26" s="56" t="s">
        <v>3009</v>
      </c>
      <c r="L26" s="56">
        <f>COUNTIF('Survey 1 Papers'!$E:$E,"*"&amp;$K26&amp;"*")</f>
        <v>1</v>
      </c>
      <c r="M26" s="56">
        <f>COUNTIF('Survey 2 Papers'!$E:$E,"*"&amp;$K26&amp;"*")</f>
        <v>0</v>
      </c>
      <c r="N26" s="56">
        <f>COUNTIF('Survey 3 Papers'!$E:$E,"*"&amp;$K26&amp;"*")</f>
        <v>0</v>
      </c>
      <c r="O26" s="55" t="s">
        <v>3046</v>
      </c>
    </row>
    <row r="27" spans="1:15" x14ac:dyDescent="0.35">
      <c r="A27" s="56">
        <v>23</v>
      </c>
      <c r="B27" s="55" t="s">
        <v>3010</v>
      </c>
      <c r="C27" s="55" t="s">
        <v>2093</v>
      </c>
      <c r="D27" s="55" t="s">
        <v>2968</v>
      </c>
      <c r="E27" s="56" t="s">
        <v>2964</v>
      </c>
      <c r="F27" s="56" t="s">
        <v>2964</v>
      </c>
      <c r="G27" s="56" t="s">
        <v>2965</v>
      </c>
      <c r="H27" s="56" t="s">
        <v>275</v>
      </c>
      <c r="I27" s="56" t="s">
        <v>272</v>
      </c>
      <c r="J27" s="56" t="s">
        <v>285</v>
      </c>
      <c r="K27" s="56" t="s">
        <v>3011</v>
      </c>
      <c r="L27" s="56">
        <f>COUNTIF('Survey 1 Papers'!$E:$E,"*"&amp;$K27&amp;"*")</f>
        <v>0</v>
      </c>
      <c r="M27" s="56">
        <f>COUNTIF('Survey 2 Papers'!$E:$E,"*"&amp;$K27&amp;"*")</f>
        <v>0</v>
      </c>
      <c r="N27" s="56">
        <f>COUNTIF('Survey 3 Papers'!$E:$E,"*"&amp;$K27&amp;"*")</f>
        <v>0</v>
      </c>
      <c r="O27" s="55" t="s">
        <v>3041</v>
      </c>
    </row>
    <row r="28" spans="1:15" x14ac:dyDescent="0.35">
      <c r="A28" s="56">
        <v>24</v>
      </c>
      <c r="B28" s="55" t="s">
        <v>3012</v>
      </c>
      <c r="C28" s="55" t="s">
        <v>2093</v>
      </c>
      <c r="D28" s="55" t="s">
        <v>329</v>
      </c>
      <c r="E28" s="56" t="s">
        <v>2964</v>
      </c>
      <c r="F28" s="56" t="s">
        <v>2964</v>
      </c>
      <c r="G28" s="56" t="s">
        <v>2965</v>
      </c>
      <c r="H28" s="56" t="s">
        <v>275</v>
      </c>
      <c r="I28" s="56" t="s">
        <v>275</v>
      </c>
      <c r="J28" s="56" t="s">
        <v>285</v>
      </c>
      <c r="K28" s="56" t="s">
        <v>3012</v>
      </c>
      <c r="L28" s="56">
        <f>COUNTIF('Survey 1 Papers'!$E:$E,"*"&amp;$K28&amp;"*")</f>
        <v>0</v>
      </c>
      <c r="M28" s="56">
        <f>COUNTIF('Survey 2 Papers'!$E:$E,"*"&amp;$K28&amp;"*")</f>
        <v>0</v>
      </c>
      <c r="N28" s="56">
        <f>COUNTIF('Survey 3 Papers'!$E:$E,"*"&amp;$K28&amp;"*")</f>
        <v>1</v>
      </c>
      <c r="O28" s="55" t="s">
        <v>3047</v>
      </c>
    </row>
    <row r="29" spans="1:15" x14ac:dyDescent="0.35">
      <c r="A29" s="56">
        <v>25</v>
      </c>
      <c r="B29" s="55" t="s">
        <v>3013</v>
      </c>
      <c r="C29" s="55" t="s">
        <v>2093</v>
      </c>
      <c r="D29" s="55" t="s">
        <v>2974</v>
      </c>
      <c r="E29" s="56" t="s">
        <v>2964</v>
      </c>
      <c r="F29" s="56" t="s">
        <v>2964</v>
      </c>
      <c r="G29" s="56" t="s">
        <v>2978</v>
      </c>
      <c r="H29" s="56" t="s">
        <v>272</v>
      </c>
      <c r="I29" s="56" t="s">
        <v>272</v>
      </c>
      <c r="J29" s="56" t="s">
        <v>285</v>
      </c>
      <c r="K29" s="56" t="s">
        <v>3013</v>
      </c>
      <c r="L29" s="56">
        <f>COUNTIF('Survey 1 Papers'!$E:$E,"*"&amp;$K29&amp;"*")</f>
        <v>0</v>
      </c>
      <c r="M29" s="56">
        <f>COUNTIF('Survey 2 Papers'!$E:$E,"*"&amp;$K29&amp;"*")</f>
        <v>1</v>
      </c>
      <c r="N29" s="56">
        <f>COUNTIF('Survey 3 Papers'!$E:$E,"*"&amp;$K29&amp;"*")</f>
        <v>0</v>
      </c>
      <c r="O29" s="55" t="s">
        <v>3041</v>
      </c>
    </row>
    <row r="30" spans="1:15" x14ac:dyDescent="0.35">
      <c r="A30" s="56">
        <v>26</v>
      </c>
      <c r="B30" s="55" t="s">
        <v>3014</v>
      </c>
      <c r="C30" s="55" t="s">
        <v>2117</v>
      </c>
      <c r="D30" s="55" t="s">
        <v>2968</v>
      </c>
      <c r="E30" s="56" t="s">
        <v>3015</v>
      </c>
      <c r="F30" s="56" t="s">
        <v>2964</v>
      </c>
      <c r="G30" s="56" t="s">
        <v>2965</v>
      </c>
      <c r="H30" s="56" t="s">
        <v>275</v>
      </c>
      <c r="I30" s="56" t="s">
        <v>272</v>
      </c>
      <c r="J30" s="56" t="s">
        <v>285</v>
      </c>
      <c r="K30" s="56" t="s">
        <v>3016</v>
      </c>
      <c r="L30" s="56">
        <f>COUNTIF('Survey 1 Papers'!$E:$E,"*"&amp;$K30&amp;"*")</f>
        <v>2</v>
      </c>
      <c r="M30" s="56">
        <f>COUNTIF('Survey 2 Papers'!$E:$E,"*"&amp;$K30&amp;"*")</f>
        <v>1</v>
      </c>
      <c r="N30" s="56">
        <f>COUNTIF('Survey 3 Papers'!$E:$E,"*"&amp;$K30&amp;"*")</f>
        <v>3</v>
      </c>
      <c r="O30" s="55" t="s">
        <v>2117</v>
      </c>
    </row>
    <row r="31" spans="1:15" x14ac:dyDescent="0.35">
      <c r="A31" s="56">
        <v>27</v>
      </c>
      <c r="B31" s="55" t="s">
        <v>3017</v>
      </c>
      <c r="C31" s="55" t="s">
        <v>2117</v>
      </c>
      <c r="D31" s="55" t="s">
        <v>2968</v>
      </c>
      <c r="E31" s="56" t="s">
        <v>3015</v>
      </c>
      <c r="F31" s="56" t="s">
        <v>2964</v>
      </c>
      <c r="G31" s="56" t="s">
        <v>2965</v>
      </c>
      <c r="H31" s="56" t="s">
        <v>275</v>
      </c>
      <c r="I31" s="56" t="s">
        <v>272</v>
      </c>
      <c r="J31" s="56" t="s">
        <v>285</v>
      </c>
      <c r="K31" s="56" t="s">
        <v>3018</v>
      </c>
      <c r="L31" s="56">
        <f>COUNTIF('Survey 1 Papers'!$E:$E,"*"&amp;$K31&amp;"*")</f>
        <v>0</v>
      </c>
      <c r="M31" s="56">
        <f>COUNTIF('Survey 2 Papers'!$E:$E,"*"&amp;$K31&amp;"*")</f>
        <v>1</v>
      </c>
      <c r="N31" s="56">
        <f>COUNTIF('Survey 3 Papers'!$E:$E,"*"&amp;$K31&amp;"*")</f>
        <v>2</v>
      </c>
      <c r="O31" s="55" t="s">
        <v>2117</v>
      </c>
    </row>
    <row r="32" spans="1:15" x14ac:dyDescent="0.35">
      <c r="A32" s="56">
        <v>28</v>
      </c>
      <c r="B32" s="55" t="s">
        <v>3019</v>
      </c>
      <c r="C32" s="55" t="s">
        <v>2117</v>
      </c>
      <c r="D32" s="55" t="s">
        <v>3020</v>
      </c>
      <c r="E32" s="56" t="s">
        <v>3015</v>
      </c>
      <c r="F32" s="56" t="s">
        <v>2996</v>
      </c>
      <c r="G32" s="56" t="s">
        <v>2965</v>
      </c>
      <c r="H32" s="56" t="s">
        <v>272</v>
      </c>
      <c r="I32" s="56" t="s">
        <v>272</v>
      </c>
      <c r="J32" s="56" t="s">
        <v>285</v>
      </c>
      <c r="K32" s="56" t="s">
        <v>3021</v>
      </c>
      <c r="L32" s="56">
        <f>COUNTIF('Survey 1 Papers'!$E:$E,"*"&amp;$K32&amp;"*")</f>
        <v>0</v>
      </c>
      <c r="M32" s="56">
        <f>COUNTIF('Survey 2 Papers'!$E:$E,"*"&amp;$K32&amp;"*")</f>
        <v>0</v>
      </c>
      <c r="N32" s="56">
        <f>COUNTIF('Survey 3 Papers'!$E:$E,"*"&amp;$K32&amp;"*")</f>
        <v>17</v>
      </c>
      <c r="O32" s="55" t="s">
        <v>2117</v>
      </c>
    </row>
    <row r="33" spans="1:15" x14ac:dyDescent="0.35">
      <c r="A33" s="56">
        <v>29</v>
      </c>
      <c r="B33" s="55" t="s">
        <v>3022</v>
      </c>
      <c r="C33" s="55" t="s">
        <v>2117</v>
      </c>
      <c r="D33" s="55" t="s">
        <v>3023</v>
      </c>
      <c r="E33" s="56" t="s">
        <v>3015</v>
      </c>
      <c r="F33" s="56" t="s">
        <v>2996</v>
      </c>
      <c r="G33" s="56" t="s">
        <v>2965</v>
      </c>
      <c r="H33" s="56" t="s">
        <v>272</v>
      </c>
      <c r="I33" s="56" t="s">
        <v>272</v>
      </c>
      <c r="J33" s="56" t="s">
        <v>285</v>
      </c>
      <c r="K33" s="56" t="s">
        <v>3024</v>
      </c>
      <c r="L33" s="56">
        <f>COUNTIF('Survey 1 Papers'!$E:$E,"*"&amp;$K33&amp;"*")</f>
        <v>0</v>
      </c>
      <c r="M33" s="56">
        <f>COUNTIF('Survey 2 Papers'!$E:$E,"*"&amp;$K33&amp;"*")</f>
        <v>0</v>
      </c>
      <c r="N33" s="56">
        <f>COUNTIF('Survey 3 Papers'!$E:$E,"*"&amp;$K33&amp;"*")</f>
        <v>0</v>
      </c>
      <c r="O33" s="55" t="s">
        <v>2117</v>
      </c>
    </row>
    <row r="34" spans="1:15" x14ac:dyDescent="0.35">
      <c r="A34" s="56">
        <v>30</v>
      </c>
      <c r="B34" s="55" t="s">
        <v>3025</v>
      </c>
      <c r="C34" s="55" t="s">
        <v>2117</v>
      </c>
      <c r="D34" s="55" t="s">
        <v>2968</v>
      </c>
      <c r="E34" s="56" t="s">
        <v>3015</v>
      </c>
      <c r="F34" s="56" t="s">
        <v>2964</v>
      </c>
      <c r="G34" s="56" t="s">
        <v>2965</v>
      </c>
      <c r="H34" s="56" t="s">
        <v>285</v>
      </c>
      <c r="I34" s="56" t="s">
        <v>275</v>
      </c>
      <c r="J34" s="56" t="s">
        <v>272</v>
      </c>
      <c r="K34" s="56" t="s">
        <v>3026</v>
      </c>
      <c r="L34" s="56">
        <f>COUNTIF('Survey 1 Papers'!$E:$E,"*"&amp;$K34&amp;"*")</f>
        <v>1</v>
      </c>
      <c r="M34" s="56">
        <f>COUNTIF('Survey 2 Papers'!$E:$E,"*"&amp;$K34&amp;"*")</f>
        <v>0</v>
      </c>
      <c r="N34" s="56">
        <f>COUNTIF('Survey 3 Papers'!$E:$E,"*"&amp;$K34&amp;"*")</f>
        <v>0</v>
      </c>
      <c r="O34" s="55" t="s">
        <v>2117</v>
      </c>
    </row>
    <row r="35" spans="1:15" x14ac:dyDescent="0.35">
      <c r="A35" s="56">
        <v>31</v>
      </c>
      <c r="B35" s="55" t="s">
        <v>3027</v>
      </c>
      <c r="C35" s="55" t="s">
        <v>2117</v>
      </c>
      <c r="D35" s="55" t="s">
        <v>3028</v>
      </c>
      <c r="E35" s="56" t="s">
        <v>3015</v>
      </c>
      <c r="F35" s="56" t="s">
        <v>2964</v>
      </c>
      <c r="G35" s="56" t="s">
        <v>2978</v>
      </c>
      <c r="H35" s="56" t="s">
        <v>272</v>
      </c>
      <c r="I35" s="56" t="s">
        <v>285</v>
      </c>
      <c r="J35" s="56" t="s">
        <v>272</v>
      </c>
      <c r="K35" s="56" t="s">
        <v>3029</v>
      </c>
      <c r="L35" s="56">
        <f>COUNTIF('Survey 1 Papers'!$E:$E,"*"&amp;$K35&amp;"*")</f>
        <v>0</v>
      </c>
      <c r="M35" s="56">
        <f>COUNTIF('Survey 2 Papers'!$E:$E,"*"&amp;$K35&amp;"*")</f>
        <v>0</v>
      </c>
      <c r="N35" s="56">
        <f>COUNTIF('Survey 3 Papers'!$E:$E,"*"&amp;$K35&amp;"*")</f>
        <v>0</v>
      </c>
      <c r="O35" s="55" t="s">
        <v>2117</v>
      </c>
    </row>
    <row r="36" spans="1:15" x14ac:dyDescent="0.35">
      <c r="A36" s="56">
        <v>32</v>
      </c>
      <c r="B36" s="55" t="s">
        <v>3030</v>
      </c>
      <c r="C36" s="55" t="s">
        <v>2117</v>
      </c>
      <c r="D36" s="55" t="s">
        <v>3031</v>
      </c>
      <c r="E36" s="56" t="s">
        <v>3015</v>
      </c>
      <c r="F36" s="56" t="s">
        <v>2996</v>
      </c>
      <c r="G36" s="56" t="s">
        <v>2978</v>
      </c>
      <c r="H36" s="56" t="s">
        <v>272</v>
      </c>
      <c r="I36" s="56" t="s">
        <v>285</v>
      </c>
      <c r="J36" s="56" t="s">
        <v>272</v>
      </c>
      <c r="K36" s="56" t="s">
        <v>3032</v>
      </c>
      <c r="L36" s="56">
        <f>COUNTIF('Survey 1 Papers'!$E:$E,"*"&amp;$K36&amp;"*")</f>
        <v>0</v>
      </c>
      <c r="M36" s="56">
        <f>COUNTIF('Survey 2 Papers'!$E:$E,"*"&amp;$K36&amp;"*")</f>
        <v>0</v>
      </c>
      <c r="N36" s="56">
        <f>COUNTIF('Survey 3 Papers'!$E:$E,"*"&amp;$K36&amp;"*")</f>
        <v>0</v>
      </c>
      <c r="O36" s="55" t="s">
        <v>2117</v>
      </c>
    </row>
    <row r="37" spans="1:15" x14ac:dyDescent="0.35">
      <c r="A37" s="56">
        <v>33</v>
      </c>
      <c r="B37" s="55" t="s">
        <v>1913</v>
      </c>
      <c r="C37" s="55" t="s">
        <v>2117</v>
      </c>
      <c r="D37" s="55" t="s">
        <v>3033</v>
      </c>
      <c r="E37" s="56" t="s">
        <v>3015</v>
      </c>
      <c r="F37" s="56" t="s">
        <v>2996</v>
      </c>
      <c r="G37" s="56" t="s">
        <v>2965</v>
      </c>
      <c r="H37" s="56" t="s">
        <v>272</v>
      </c>
      <c r="I37" s="56" t="s">
        <v>272</v>
      </c>
      <c r="J37" s="56" t="s">
        <v>285</v>
      </c>
      <c r="K37" s="56" t="s">
        <v>1913</v>
      </c>
      <c r="L37" s="56">
        <f>COUNTIF('Survey 1 Papers'!$E:$E,"*"&amp;$K37&amp;"*")</f>
        <v>1</v>
      </c>
      <c r="M37" s="56">
        <f>COUNTIF('Survey 2 Papers'!$E:$E,"*"&amp;$K37&amp;"*")</f>
        <v>3</v>
      </c>
      <c r="N37" s="56">
        <f>COUNTIF('Survey 3 Papers'!$E:$E,"*"&amp;$K37&amp;"*")</f>
        <v>22</v>
      </c>
      <c r="O37" s="55" t="s">
        <v>2117</v>
      </c>
    </row>
  </sheetData>
  <mergeCells count="1">
    <mergeCell ref="A2:O2"/>
  </mergeCells>
  <conditionalFormatting sqref="H5:J37">
    <cfRule type="containsText" dxfId="15" priority="1" operator="containsText" text="High">
      <formula>NOT(ISERROR(SEARCH("High",H5)))</formula>
    </cfRule>
    <cfRule type="containsText" dxfId="14" priority="2" operator="containsText" text="Medium">
      <formula>NOT(ISERROR(SEARCH("Medium",H5)))</formula>
    </cfRule>
    <cfRule type="containsText" dxfId="13" priority="3" operator="containsText" text="Low">
      <formula>NOT(ISERROR(SEARCH("Low",H5)))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4759-0D5C-4C74-9A93-23B79CD6717B}">
  <dimension ref="A1:E63"/>
  <sheetViews>
    <sheetView workbookViewId="0">
      <pane ySplit="1" topLeftCell="A2" activePane="bottomLeft" state="frozen"/>
      <selection pane="bottomLeft" activeCell="B60" sqref="B60"/>
    </sheetView>
  </sheetViews>
  <sheetFormatPr defaultRowHeight="14.5" x14ac:dyDescent="0.35"/>
  <cols>
    <col min="1" max="1" width="7.26953125" style="34" customWidth="1"/>
    <col min="2" max="2" width="94.54296875" style="4" customWidth="1"/>
    <col min="3" max="3" width="8.1796875" style="34" customWidth="1"/>
    <col min="4" max="4" width="12.7265625" customWidth="1"/>
    <col min="5" max="5" width="16.36328125" customWidth="1"/>
  </cols>
  <sheetData>
    <row r="1" spans="1:5" x14ac:dyDescent="0.35">
      <c r="A1" s="45" t="s">
        <v>2087</v>
      </c>
      <c r="B1" s="43" t="s">
        <v>2088</v>
      </c>
      <c r="C1" s="45" t="s">
        <v>2</v>
      </c>
      <c r="D1" s="41" t="s">
        <v>267</v>
      </c>
      <c r="E1" s="41" t="s">
        <v>566</v>
      </c>
    </row>
    <row r="2" spans="1:5" x14ac:dyDescent="0.35">
      <c r="A2" s="46">
        <v>1</v>
      </c>
      <c r="B2" s="44" t="s">
        <v>2089</v>
      </c>
      <c r="C2" s="46">
        <v>2005</v>
      </c>
      <c r="D2" s="42" t="s">
        <v>2090</v>
      </c>
      <c r="E2" s="42"/>
    </row>
    <row r="3" spans="1:5" x14ac:dyDescent="0.35">
      <c r="A3" s="46">
        <v>2</v>
      </c>
      <c r="B3" s="44" t="s">
        <v>2091</v>
      </c>
      <c r="C3" s="46">
        <v>1998</v>
      </c>
      <c r="D3" s="42" t="s">
        <v>2090</v>
      </c>
      <c r="E3" s="42"/>
    </row>
    <row r="4" spans="1:5" ht="29" x14ac:dyDescent="0.35">
      <c r="A4" s="46">
        <v>3</v>
      </c>
      <c r="B4" s="44" t="s">
        <v>2092</v>
      </c>
      <c r="C4" s="46">
        <v>2011</v>
      </c>
      <c r="D4" s="42" t="s">
        <v>2093</v>
      </c>
      <c r="E4" s="42"/>
    </row>
    <row r="5" spans="1:5" ht="29" x14ac:dyDescent="0.35">
      <c r="A5" s="46">
        <v>4</v>
      </c>
      <c r="B5" s="44" t="s">
        <v>2094</v>
      </c>
      <c r="C5" s="46">
        <v>2010</v>
      </c>
      <c r="D5" s="42" t="s">
        <v>2090</v>
      </c>
      <c r="E5" s="42"/>
    </row>
    <row r="6" spans="1:5" x14ac:dyDescent="0.35">
      <c r="A6" s="46">
        <v>5</v>
      </c>
      <c r="B6" s="44" t="s">
        <v>2095</v>
      </c>
      <c r="C6" s="46">
        <v>2016</v>
      </c>
      <c r="D6" s="42" t="s">
        <v>2093</v>
      </c>
      <c r="E6" s="42"/>
    </row>
    <row r="7" spans="1:5" ht="29" x14ac:dyDescent="0.35">
      <c r="A7" s="46">
        <v>6</v>
      </c>
      <c r="B7" s="44" t="s">
        <v>2096</v>
      </c>
      <c r="C7" s="46">
        <v>2024</v>
      </c>
      <c r="D7" s="42" t="s">
        <v>2093</v>
      </c>
      <c r="E7" s="42"/>
    </row>
    <row r="8" spans="1:5" x14ac:dyDescent="0.35">
      <c r="A8" s="46">
        <v>7</v>
      </c>
      <c r="B8" s="44" t="s">
        <v>2097</v>
      </c>
      <c r="C8" s="46">
        <v>2021</v>
      </c>
      <c r="D8" s="42" t="s">
        <v>2090</v>
      </c>
      <c r="E8" s="42"/>
    </row>
    <row r="9" spans="1:5" ht="29" x14ac:dyDescent="0.35">
      <c r="A9" s="46">
        <v>8</v>
      </c>
      <c r="B9" s="44" t="s">
        <v>2098</v>
      </c>
      <c r="C9" s="46">
        <v>2010</v>
      </c>
      <c r="D9" s="42" t="s">
        <v>2093</v>
      </c>
      <c r="E9" s="42"/>
    </row>
    <row r="10" spans="1:5" x14ac:dyDescent="0.35">
      <c r="A10" s="46">
        <v>9</v>
      </c>
      <c r="B10" s="44" t="s">
        <v>2099</v>
      </c>
      <c r="C10" s="46">
        <v>2018</v>
      </c>
      <c r="D10" s="42" t="s">
        <v>2093</v>
      </c>
      <c r="E10" s="42"/>
    </row>
    <row r="11" spans="1:5" x14ac:dyDescent="0.35">
      <c r="A11" s="46">
        <v>10</v>
      </c>
      <c r="B11" s="44" t="s">
        <v>2100</v>
      </c>
      <c r="C11" s="46">
        <v>2022</v>
      </c>
      <c r="D11" s="42" t="s">
        <v>2093</v>
      </c>
      <c r="E11" s="42"/>
    </row>
    <row r="12" spans="1:5" ht="29" x14ac:dyDescent="0.35">
      <c r="A12" s="46">
        <v>11</v>
      </c>
      <c r="B12" s="44" t="s">
        <v>2101</v>
      </c>
      <c r="C12" s="46">
        <v>2019</v>
      </c>
      <c r="D12" s="42" t="s">
        <v>2093</v>
      </c>
      <c r="E12" s="42"/>
    </row>
    <row r="13" spans="1:5" x14ac:dyDescent="0.35">
      <c r="A13" s="46">
        <v>12</v>
      </c>
      <c r="B13" s="44" t="s">
        <v>2102</v>
      </c>
      <c r="C13" s="46">
        <v>2015</v>
      </c>
      <c r="D13" s="42" t="s">
        <v>2093</v>
      </c>
      <c r="E13" s="42"/>
    </row>
    <row r="14" spans="1:5" ht="29" x14ac:dyDescent="0.35">
      <c r="A14" s="46">
        <v>13</v>
      </c>
      <c r="B14" s="44" t="s">
        <v>2103</v>
      </c>
      <c r="C14" s="46">
        <v>2012</v>
      </c>
      <c r="D14" s="42" t="s">
        <v>2093</v>
      </c>
      <c r="E14" s="42"/>
    </row>
    <row r="15" spans="1:5" ht="29" x14ac:dyDescent="0.35">
      <c r="A15" s="46">
        <v>14</v>
      </c>
      <c r="B15" s="44" t="s">
        <v>2104</v>
      </c>
      <c r="C15" s="46">
        <v>2014</v>
      </c>
      <c r="D15" s="42" t="s">
        <v>2105</v>
      </c>
      <c r="E15" s="42"/>
    </row>
    <row r="16" spans="1:5" ht="29" x14ac:dyDescent="0.35">
      <c r="A16" s="46">
        <v>15</v>
      </c>
      <c r="B16" s="44" t="s">
        <v>2106</v>
      </c>
      <c r="C16" s="46">
        <v>2020</v>
      </c>
      <c r="D16" s="42" t="s">
        <v>2093</v>
      </c>
      <c r="E16" s="42"/>
    </row>
    <row r="17" spans="1:5" ht="29" x14ac:dyDescent="0.35">
      <c r="A17" s="46">
        <v>16</v>
      </c>
      <c r="B17" s="44" t="s">
        <v>2107</v>
      </c>
      <c r="C17" s="46">
        <v>2019</v>
      </c>
      <c r="D17" s="42" t="s">
        <v>2093</v>
      </c>
      <c r="E17" s="42"/>
    </row>
    <row r="18" spans="1:5" x14ac:dyDescent="0.35">
      <c r="A18" s="46">
        <v>17</v>
      </c>
      <c r="B18" s="44" t="s">
        <v>2108</v>
      </c>
      <c r="C18" s="46">
        <v>2020</v>
      </c>
      <c r="D18" s="42" t="s">
        <v>2093</v>
      </c>
      <c r="E18" s="42"/>
    </row>
    <row r="19" spans="1:5" x14ac:dyDescent="0.35">
      <c r="A19" s="46">
        <v>18</v>
      </c>
      <c r="B19" s="44" t="s">
        <v>2109</v>
      </c>
      <c r="C19" s="46">
        <v>2017</v>
      </c>
      <c r="D19" s="42" t="s">
        <v>2093</v>
      </c>
      <c r="E19" s="42"/>
    </row>
    <row r="20" spans="1:5" ht="29" x14ac:dyDescent="0.35">
      <c r="A20" s="46">
        <v>19</v>
      </c>
      <c r="B20" s="44" t="s">
        <v>2110</v>
      </c>
      <c r="C20" s="46">
        <v>2018</v>
      </c>
      <c r="D20" s="42" t="s">
        <v>2093</v>
      </c>
      <c r="E20" s="42"/>
    </row>
    <row r="21" spans="1:5" ht="29" x14ac:dyDescent="0.35">
      <c r="A21" s="46">
        <v>20</v>
      </c>
      <c r="B21" s="44" t="s">
        <v>2111</v>
      </c>
      <c r="C21" s="46">
        <v>2021</v>
      </c>
      <c r="D21" s="42" t="s">
        <v>2093</v>
      </c>
      <c r="E21" s="42"/>
    </row>
    <row r="22" spans="1:5" ht="29" x14ac:dyDescent="0.35">
      <c r="A22" s="46">
        <v>21</v>
      </c>
      <c r="B22" s="44" t="s">
        <v>2112</v>
      </c>
      <c r="C22" s="46">
        <v>2019</v>
      </c>
      <c r="D22" s="42" t="s">
        <v>2093</v>
      </c>
      <c r="E22" s="42"/>
    </row>
    <row r="23" spans="1:5" ht="29" x14ac:dyDescent="0.35">
      <c r="A23" s="46">
        <v>22</v>
      </c>
      <c r="B23" s="44" t="s">
        <v>2113</v>
      </c>
      <c r="C23" s="46">
        <v>2022</v>
      </c>
      <c r="D23" s="42" t="s">
        <v>2093</v>
      </c>
      <c r="E23" s="42"/>
    </row>
    <row r="24" spans="1:5" ht="29" x14ac:dyDescent="0.35">
      <c r="A24" s="46">
        <v>23</v>
      </c>
      <c r="B24" s="44" t="s">
        <v>2114</v>
      </c>
      <c r="C24" s="46">
        <v>2021</v>
      </c>
      <c r="D24" s="42" t="s">
        <v>2093</v>
      </c>
      <c r="E24" s="42"/>
    </row>
    <row r="25" spans="1:5" ht="29" x14ac:dyDescent="0.35">
      <c r="A25" s="46">
        <v>24</v>
      </c>
      <c r="B25" s="44" t="s">
        <v>2115</v>
      </c>
      <c r="C25" s="46">
        <v>2014</v>
      </c>
      <c r="D25" s="42" t="s">
        <v>2093</v>
      </c>
      <c r="E25" s="42"/>
    </row>
    <row r="26" spans="1:5" ht="29" x14ac:dyDescent="0.35">
      <c r="A26" s="46">
        <v>25</v>
      </c>
      <c r="B26" s="44" t="s">
        <v>2116</v>
      </c>
      <c r="C26" s="46">
        <v>2018</v>
      </c>
      <c r="D26" s="42" t="s">
        <v>2117</v>
      </c>
      <c r="E26" s="42"/>
    </row>
    <row r="27" spans="1:5" ht="29" x14ac:dyDescent="0.35">
      <c r="A27" s="46">
        <v>26</v>
      </c>
      <c r="B27" s="44" t="s">
        <v>2118</v>
      </c>
      <c r="C27" s="46">
        <v>2022</v>
      </c>
      <c r="D27" s="42" t="s">
        <v>2093</v>
      </c>
      <c r="E27" s="42"/>
    </row>
    <row r="28" spans="1:5" ht="29" x14ac:dyDescent="0.35">
      <c r="A28" s="46">
        <v>27</v>
      </c>
      <c r="B28" s="44" t="s">
        <v>2119</v>
      </c>
      <c r="C28" s="46">
        <v>2017</v>
      </c>
      <c r="D28" s="42" t="s">
        <v>2093</v>
      </c>
      <c r="E28" s="42"/>
    </row>
    <row r="29" spans="1:5" ht="29" x14ac:dyDescent="0.35">
      <c r="A29" s="46">
        <v>28</v>
      </c>
      <c r="B29" s="44" t="s">
        <v>2120</v>
      </c>
      <c r="C29" s="46">
        <v>1996</v>
      </c>
      <c r="D29" s="42" t="s">
        <v>2117</v>
      </c>
      <c r="E29" s="42"/>
    </row>
    <row r="30" spans="1:5" ht="29" x14ac:dyDescent="0.35">
      <c r="A30" s="46">
        <v>29</v>
      </c>
      <c r="B30" s="44" t="s">
        <v>2121</v>
      </c>
      <c r="C30" s="46">
        <v>2002</v>
      </c>
      <c r="D30" s="42" t="s">
        <v>2093</v>
      </c>
      <c r="E30" s="42"/>
    </row>
    <row r="31" spans="1:5" x14ac:dyDescent="0.35">
      <c r="A31" s="46">
        <v>30</v>
      </c>
      <c r="B31" s="44" t="s">
        <v>2122</v>
      </c>
      <c r="C31" s="46">
        <v>2015</v>
      </c>
      <c r="D31" s="42" t="s">
        <v>2093</v>
      </c>
      <c r="E31" s="42"/>
    </row>
    <row r="32" spans="1:5" x14ac:dyDescent="0.35">
      <c r="A32" s="46">
        <v>31</v>
      </c>
      <c r="B32" s="44" t="s">
        <v>2123</v>
      </c>
      <c r="C32" s="46">
        <v>2015</v>
      </c>
      <c r="D32" s="42" t="s">
        <v>2105</v>
      </c>
      <c r="E32" s="42"/>
    </row>
    <row r="33" spans="1:5" ht="29" x14ac:dyDescent="0.35">
      <c r="A33" s="46">
        <v>32</v>
      </c>
      <c r="B33" s="44" t="s">
        <v>2124</v>
      </c>
      <c r="C33" s="46">
        <v>1999</v>
      </c>
      <c r="D33" s="42" t="s">
        <v>2117</v>
      </c>
      <c r="E33" s="42"/>
    </row>
    <row r="34" spans="1:5" ht="29" x14ac:dyDescent="0.35">
      <c r="A34" s="46">
        <v>33</v>
      </c>
      <c r="B34" s="44" t="s">
        <v>2125</v>
      </c>
      <c r="C34" s="46">
        <v>2002</v>
      </c>
      <c r="D34" s="42" t="s">
        <v>2117</v>
      </c>
      <c r="E34" s="42"/>
    </row>
    <row r="35" spans="1:5" ht="29" x14ac:dyDescent="0.35">
      <c r="A35" s="46">
        <v>34</v>
      </c>
      <c r="B35" s="44" t="s">
        <v>2126</v>
      </c>
      <c r="C35" s="46">
        <v>2022</v>
      </c>
      <c r="D35" s="42" t="s">
        <v>2093</v>
      </c>
      <c r="E35" s="42"/>
    </row>
    <row r="36" spans="1:5" ht="29" x14ac:dyDescent="0.35">
      <c r="A36" s="46">
        <v>35</v>
      </c>
      <c r="B36" s="44" t="s">
        <v>2127</v>
      </c>
      <c r="C36" s="46">
        <v>2023</v>
      </c>
      <c r="D36" s="42" t="s">
        <v>2105</v>
      </c>
      <c r="E36" s="42"/>
    </row>
    <row r="37" spans="1:5" ht="29" x14ac:dyDescent="0.35">
      <c r="A37" s="46">
        <v>36</v>
      </c>
      <c r="B37" s="44" t="s">
        <v>2128</v>
      </c>
      <c r="C37" s="46">
        <v>2022</v>
      </c>
      <c r="D37" s="42" t="s">
        <v>2093</v>
      </c>
      <c r="E37" s="42"/>
    </row>
    <row r="38" spans="1:5" ht="29" x14ac:dyDescent="0.35">
      <c r="A38" s="46">
        <v>37</v>
      </c>
      <c r="B38" s="44" t="s">
        <v>2129</v>
      </c>
      <c r="C38" s="46">
        <v>2021</v>
      </c>
      <c r="D38" s="42" t="s">
        <v>2093</v>
      </c>
      <c r="E38" s="42"/>
    </row>
    <row r="39" spans="1:5" ht="29" x14ac:dyDescent="0.35">
      <c r="A39" s="46">
        <v>38</v>
      </c>
      <c r="B39" s="44" t="s">
        <v>2130</v>
      </c>
      <c r="C39" s="46">
        <v>2020</v>
      </c>
      <c r="D39" s="42" t="s">
        <v>2105</v>
      </c>
      <c r="E39" s="42"/>
    </row>
    <row r="40" spans="1:5" ht="29" x14ac:dyDescent="0.35">
      <c r="A40" s="46">
        <v>39</v>
      </c>
      <c r="B40" s="44" t="s">
        <v>2131</v>
      </c>
      <c r="C40" s="46">
        <v>2012</v>
      </c>
      <c r="D40" s="42" t="s">
        <v>2093</v>
      </c>
      <c r="E40" s="42"/>
    </row>
    <row r="41" spans="1:5" x14ac:dyDescent="0.35">
      <c r="A41" s="46">
        <v>40</v>
      </c>
      <c r="B41" s="44" t="s">
        <v>2132</v>
      </c>
      <c r="C41" s="46">
        <v>2014</v>
      </c>
      <c r="D41" s="42" t="s">
        <v>2093</v>
      </c>
      <c r="E41" s="42"/>
    </row>
    <row r="42" spans="1:5" x14ac:dyDescent="0.35">
      <c r="A42" s="46">
        <v>41</v>
      </c>
      <c r="B42" s="44" t="s">
        <v>2133</v>
      </c>
      <c r="C42" s="46">
        <v>2012</v>
      </c>
      <c r="D42" s="42" t="s">
        <v>2093</v>
      </c>
      <c r="E42" s="42"/>
    </row>
    <row r="43" spans="1:5" ht="29" x14ac:dyDescent="0.35">
      <c r="A43" s="46">
        <v>42</v>
      </c>
      <c r="B43" s="44" t="s">
        <v>2134</v>
      </c>
      <c r="C43" s="46">
        <v>2023</v>
      </c>
      <c r="D43" s="42" t="s">
        <v>2093</v>
      </c>
      <c r="E43" s="42"/>
    </row>
    <row r="44" spans="1:5" ht="29" x14ac:dyDescent="0.35">
      <c r="A44" s="46">
        <v>43</v>
      </c>
      <c r="B44" s="44" t="s">
        <v>2135</v>
      </c>
      <c r="C44" s="46">
        <v>2023</v>
      </c>
      <c r="D44" s="42" t="s">
        <v>2093</v>
      </c>
      <c r="E44" s="42"/>
    </row>
    <row r="45" spans="1:5" ht="29" x14ac:dyDescent="0.35">
      <c r="A45" s="46">
        <v>44</v>
      </c>
      <c r="B45" s="44" t="s">
        <v>2136</v>
      </c>
      <c r="C45" s="46">
        <v>2025</v>
      </c>
      <c r="D45" s="42" t="s">
        <v>2117</v>
      </c>
      <c r="E45" s="42"/>
    </row>
    <row r="46" spans="1:5" ht="29" x14ac:dyDescent="0.35">
      <c r="A46" s="46">
        <v>45</v>
      </c>
      <c r="B46" s="44" t="s">
        <v>2137</v>
      </c>
      <c r="C46" s="46">
        <v>2023</v>
      </c>
      <c r="D46" s="42" t="s">
        <v>2093</v>
      </c>
      <c r="E46" s="42"/>
    </row>
    <row r="47" spans="1:5" ht="29" x14ac:dyDescent="0.35">
      <c r="A47" s="46">
        <v>46</v>
      </c>
      <c r="B47" s="44" t="s">
        <v>2138</v>
      </c>
      <c r="C47" s="46">
        <v>2021</v>
      </c>
      <c r="D47" s="42" t="s">
        <v>2093</v>
      </c>
      <c r="E47" s="42"/>
    </row>
    <row r="48" spans="1:5" x14ac:dyDescent="0.35">
      <c r="A48" s="46">
        <v>47</v>
      </c>
      <c r="B48" s="44" t="s">
        <v>2139</v>
      </c>
      <c r="C48" s="46">
        <v>2011</v>
      </c>
      <c r="D48" s="42" t="s">
        <v>2090</v>
      </c>
      <c r="E48" s="42"/>
    </row>
    <row r="49" spans="1:5" ht="29" x14ac:dyDescent="0.35">
      <c r="A49" s="46">
        <v>48</v>
      </c>
      <c r="B49" s="44" t="s">
        <v>2140</v>
      </c>
      <c r="C49" s="46">
        <v>2017</v>
      </c>
      <c r="D49" s="42" t="s">
        <v>2090</v>
      </c>
      <c r="E49" s="42"/>
    </row>
    <row r="50" spans="1:5" x14ac:dyDescent="0.35">
      <c r="A50" s="46">
        <v>49</v>
      </c>
      <c r="B50" s="44" t="s">
        <v>2141</v>
      </c>
      <c r="C50" s="46">
        <v>2017</v>
      </c>
      <c r="D50" s="42" t="s">
        <v>2093</v>
      </c>
      <c r="E50" s="42"/>
    </row>
    <row r="51" spans="1:5" x14ac:dyDescent="0.35">
      <c r="A51" s="46">
        <v>50</v>
      </c>
      <c r="B51" s="44" t="s">
        <v>2142</v>
      </c>
      <c r="C51" s="46">
        <v>2012</v>
      </c>
      <c r="D51" s="42" t="s">
        <v>2090</v>
      </c>
      <c r="E51" s="42"/>
    </row>
    <row r="52" spans="1:5" ht="29" x14ac:dyDescent="0.35">
      <c r="A52" s="46">
        <v>51</v>
      </c>
      <c r="B52" s="44" t="s">
        <v>2143</v>
      </c>
      <c r="C52" s="46">
        <v>2009</v>
      </c>
      <c r="D52" s="42" t="s">
        <v>2093</v>
      </c>
      <c r="E52" s="42"/>
    </row>
    <row r="53" spans="1:5" ht="29" x14ac:dyDescent="0.35">
      <c r="A53" s="46">
        <v>52</v>
      </c>
      <c r="B53" s="44" t="s">
        <v>2144</v>
      </c>
      <c r="C53" s="46">
        <v>2013</v>
      </c>
      <c r="D53" s="42" t="s">
        <v>2093</v>
      </c>
      <c r="E53" s="42"/>
    </row>
    <row r="54" spans="1:5" ht="29" x14ac:dyDescent="0.35">
      <c r="A54" s="46">
        <v>53</v>
      </c>
      <c r="B54" s="44" t="s">
        <v>2145</v>
      </c>
      <c r="C54" s="46">
        <v>1993</v>
      </c>
      <c r="D54" s="42" t="s">
        <v>2093</v>
      </c>
      <c r="E54" s="42"/>
    </row>
    <row r="55" spans="1:5" ht="29" x14ac:dyDescent="0.35">
      <c r="A55" s="46">
        <v>54</v>
      </c>
      <c r="B55" s="44" t="s">
        <v>2146</v>
      </c>
      <c r="C55" s="46">
        <v>2014</v>
      </c>
      <c r="D55" s="42" t="s">
        <v>2093</v>
      </c>
      <c r="E55" s="42"/>
    </row>
    <row r="56" spans="1:5" ht="29" x14ac:dyDescent="0.35">
      <c r="A56" s="46">
        <v>55</v>
      </c>
      <c r="B56" s="44" t="s">
        <v>2147</v>
      </c>
      <c r="C56" s="46">
        <v>2011</v>
      </c>
      <c r="D56" s="42" t="s">
        <v>2093</v>
      </c>
      <c r="E56" s="42"/>
    </row>
    <row r="57" spans="1:5" ht="29" x14ac:dyDescent="0.35">
      <c r="A57" s="46">
        <v>56</v>
      </c>
      <c r="B57" s="44" t="s">
        <v>2148</v>
      </c>
      <c r="C57" s="46">
        <v>2011</v>
      </c>
      <c r="D57" s="42" t="s">
        <v>2093</v>
      </c>
      <c r="E57" s="42"/>
    </row>
    <row r="58" spans="1:5" ht="29" x14ac:dyDescent="0.35">
      <c r="A58" s="46">
        <v>57</v>
      </c>
      <c r="B58" s="44" t="s">
        <v>2149</v>
      </c>
      <c r="C58" s="46">
        <v>2000</v>
      </c>
      <c r="D58" s="42" t="s">
        <v>2093</v>
      </c>
      <c r="E58" s="42"/>
    </row>
    <row r="59" spans="1:5" x14ac:dyDescent="0.35">
      <c r="A59" s="46">
        <v>58</v>
      </c>
      <c r="B59" s="44" t="s">
        <v>2150</v>
      </c>
      <c r="C59" s="46">
        <v>2012</v>
      </c>
      <c r="D59" s="42" t="s">
        <v>2090</v>
      </c>
      <c r="E59" s="42"/>
    </row>
    <row r="60" spans="1:5" ht="29" x14ac:dyDescent="0.35">
      <c r="A60" s="46">
        <v>59</v>
      </c>
      <c r="B60" s="44" t="s">
        <v>2151</v>
      </c>
      <c r="C60" s="46">
        <v>1998</v>
      </c>
      <c r="D60" s="42" t="s">
        <v>2093</v>
      </c>
      <c r="E60" s="42"/>
    </row>
    <row r="61" spans="1:5" x14ac:dyDescent="0.35">
      <c r="A61" s="46">
        <v>60</v>
      </c>
      <c r="B61" s="44" t="s">
        <v>2152</v>
      </c>
      <c r="C61" s="46">
        <v>2020</v>
      </c>
      <c r="D61" s="42" t="s">
        <v>2105</v>
      </c>
      <c r="E61" s="42"/>
    </row>
    <row r="62" spans="1:5" x14ac:dyDescent="0.35">
      <c r="A62" s="46">
        <v>61</v>
      </c>
      <c r="B62" s="44" t="s">
        <v>2153</v>
      </c>
      <c r="C62" s="46">
        <v>2015</v>
      </c>
      <c r="D62" s="42" t="s">
        <v>2093</v>
      </c>
      <c r="E62" s="42"/>
    </row>
    <row r="63" spans="1:5" x14ac:dyDescent="0.35">
      <c r="A63" s="46">
        <v>62</v>
      </c>
      <c r="B63" s="44" t="s">
        <v>2154</v>
      </c>
      <c r="C63" s="46">
        <v>2021</v>
      </c>
      <c r="D63" s="42" t="s">
        <v>2093</v>
      </c>
      <c r="E63" s="4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7"/>
  <sheetViews>
    <sheetView topLeftCell="A161" workbookViewId="0">
      <selection activeCell="S168" sqref="S168"/>
    </sheetView>
  </sheetViews>
  <sheetFormatPr defaultRowHeight="14.5" x14ac:dyDescent="0.35"/>
  <cols>
    <col min="1" max="1" width="42.1796875" bestFit="1" customWidth="1"/>
    <col min="2" max="2" width="46.26953125" bestFit="1" customWidth="1"/>
    <col min="3" max="3" width="4.81640625" bestFit="1" customWidth="1"/>
    <col min="4" max="4" width="98.1796875" bestFit="1" customWidth="1"/>
    <col min="5" max="5" width="50.81640625" bestFit="1" customWidth="1"/>
    <col min="6" max="6" width="83.6328125" bestFit="1" customWidth="1"/>
    <col min="7" max="7" width="35.453125" bestFit="1" customWidth="1"/>
    <col min="8" max="8" width="52.1796875" bestFit="1" customWidth="1"/>
    <col min="10" max="10" width="23.08984375" bestFit="1" customWidth="1"/>
    <col min="11" max="11" width="16.1796875" bestFit="1" customWidth="1"/>
    <col min="12" max="12" width="6.36328125" bestFit="1" customWidth="1"/>
    <col min="13" max="13" width="13.08984375" bestFit="1" customWidth="1"/>
    <col min="14" max="14" width="23.6328125" customWidth="1"/>
    <col min="15" max="15" width="61.81640625" customWidth="1"/>
    <col min="16" max="16" width="10" customWidth="1"/>
    <col min="17" max="17" width="15.453125" customWidth="1"/>
    <col min="18" max="18" width="58.1796875" customWidth="1"/>
    <col min="19" max="19" width="15.453125" bestFit="1" customWidth="1"/>
  </cols>
  <sheetData>
    <row r="1" spans="1:20" s="1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266</v>
      </c>
      <c r="K1" s="12" t="s">
        <v>267</v>
      </c>
      <c r="L1" s="12" t="s">
        <v>268</v>
      </c>
      <c r="M1" s="12" t="s">
        <v>269</v>
      </c>
      <c r="N1" s="12" t="s">
        <v>458</v>
      </c>
      <c r="O1" s="13" t="s">
        <v>459</v>
      </c>
      <c r="P1" s="12" t="s">
        <v>565</v>
      </c>
      <c r="Q1" s="12" t="s">
        <v>566</v>
      </c>
      <c r="R1" s="13" t="s">
        <v>567</v>
      </c>
      <c r="S1" s="12" t="s">
        <v>2046</v>
      </c>
      <c r="T1" s="12" t="s">
        <v>2047</v>
      </c>
    </row>
    <row r="2" spans="1:20" x14ac:dyDescent="0.35">
      <c r="A2" s="14" t="s">
        <v>9</v>
      </c>
      <c r="B2" t="s">
        <v>20</v>
      </c>
      <c r="C2">
        <v>2014</v>
      </c>
      <c r="D2" s="8" t="s">
        <v>59</v>
      </c>
      <c r="E2" t="s">
        <v>98</v>
      </c>
      <c r="F2" t="s">
        <v>135</v>
      </c>
      <c r="G2" t="s">
        <v>174</v>
      </c>
      <c r="H2" s="1" t="s">
        <v>186</v>
      </c>
      <c r="I2" t="s">
        <v>225</v>
      </c>
      <c r="J2" t="s">
        <v>270</v>
      </c>
      <c r="K2" t="s">
        <v>271</v>
      </c>
      <c r="L2" t="s">
        <v>238</v>
      </c>
      <c r="M2" t="s">
        <v>272</v>
      </c>
      <c r="N2" t="s">
        <v>229</v>
      </c>
      <c r="O2" s="4" t="s">
        <v>230</v>
      </c>
      <c r="P2" t="s">
        <v>568</v>
      </c>
      <c r="Q2" t="s">
        <v>569</v>
      </c>
      <c r="R2" s="4"/>
      <c r="S2" t="s">
        <v>568</v>
      </c>
      <c r="T2" t="s">
        <v>382</v>
      </c>
    </row>
    <row r="3" spans="1:20" x14ac:dyDescent="0.35">
      <c r="A3" s="14" t="s">
        <v>9</v>
      </c>
      <c r="B3" t="s">
        <v>21</v>
      </c>
      <c r="C3">
        <v>2019</v>
      </c>
      <c r="D3" s="9" t="s">
        <v>60</v>
      </c>
      <c r="E3" t="s">
        <v>99</v>
      </c>
      <c r="F3" t="s">
        <v>136</v>
      </c>
      <c r="G3" t="s">
        <v>175</v>
      </c>
      <c r="H3" t="s">
        <v>187</v>
      </c>
      <c r="I3" t="s">
        <v>226</v>
      </c>
      <c r="J3" t="s">
        <v>270</v>
      </c>
      <c r="K3" t="s">
        <v>271</v>
      </c>
      <c r="L3" t="s">
        <v>238</v>
      </c>
      <c r="M3" t="s">
        <v>272</v>
      </c>
      <c r="N3" t="s">
        <v>231</v>
      </c>
      <c r="O3" s="4" t="s">
        <v>232</v>
      </c>
      <c r="P3" t="s">
        <v>568</v>
      </c>
      <c r="Q3" t="s">
        <v>569</v>
      </c>
      <c r="R3" s="4"/>
      <c r="S3" t="s">
        <v>568</v>
      </c>
      <c r="T3" t="s">
        <v>382</v>
      </c>
    </row>
    <row r="4" spans="1:20" x14ac:dyDescent="0.35">
      <c r="A4" s="14" t="s">
        <v>9</v>
      </c>
      <c r="B4" t="s">
        <v>22</v>
      </c>
      <c r="C4">
        <v>2020</v>
      </c>
      <c r="D4" s="8" t="s">
        <v>61</v>
      </c>
      <c r="E4" t="s">
        <v>100</v>
      </c>
      <c r="F4" t="s">
        <v>137</v>
      </c>
      <c r="G4" t="s">
        <v>174</v>
      </c>
      <c r="H4" s="1" t="s">
        <v>188</v>
      </c>
      <c r="I4" t="s">
        <v>225</v>
      </c>
      <c r="J4" t="s">
        <v>270</v>
      </c>
      <c r="K4" t="s">
        <v>271</v>
      </c>
      <c r="L4" t="s">
        <v>238</v>
      </c>
      <c r="M4" t="s">
        <v>272</v>
      </c>
      <c r="N4" t="s">
        <v>255</v>
      </c>
      <c r="O4" s="4" t="s">
        <v>460</v>
      </c>
      <c r="P4" t="s">
        <v>568</v>
      </c>
      <c r="Q4" t="s">
        <v>569</v>
      </c>
      <c r="R4" s="4"/>
      <c r="S4" t="s">
        <v>568</v>
      </c>
      <c r="T4" t="s">
        <v>382</v>
      </c>
    </row>
    <row r="5" spans="1:20" x14ac:dyDescent="0.35">
      <c r="A5" s="14" t="s">
        <v>9</v>
      </c>
      <c r="B5" t="s">
        <v>23</v>
      </c>
      <c r="C5">
        <v>2021</v>
      </c>
      <c r="D5" s="8" t="s">
        <v>62</v>
      </c>
      <c r="E5" t="s">
        <v>101</v>
      </c>
      <c r="F5" t="s">
        <v>138</v>
      </c>
      <c r="G5" t="s">
        <v>176</v>
      </c>
      <c r="H5" t="s">
        <v>189</v>
      </c>
      <c r="I5" t="s">
        <v>225</v>
      </c>
      <c r="J5" t="s">
        <v>273</v>
      </c>
      <c r="K5" t="s">
        <v>271</v>
      </c>
      <c r="L5" t="s">
        <v>238</v>
      </c>
      <c r="M5" t="s">
        <v>272</v>
      </c>
      <c r="N5" t="s">
        <v>233</v>
      </c>
      <c r="O5" s="4" t="s">
        <v>461</v>
      </c>
      <c r="P5" t="s">
        <v>570</v>
      </c>
      <c r="Q5" t="s">
        <v>569</v>
      </c>
      <c r="R5" s="4"/>
      <c r="S5" t="s">
        <v>568</v>
      </c>
      <c r="T5" t="s">
        <v>382</v>
      </c>
    </row>
    <row r="6" spans="1:20" x14ac:dyDescent="0.35">
      <c r="A6" s="14" t="s">
        <v>9</v>
      </c>
      <c r="B6" t="s">
        <v>24</v>
      </c>
      <c r="C6">
        <v>2020</v>
      </c>
      <c r="D6" s="8" t="s">
        <v>63</v>
      </c>
      <c r="E6" t="s">
        <v>102</v>
      </c>
      <c r="F6" t="s">
        <v>139</v>
      </c>
      <c r="G6" t="s">
        <v>174</v>
      </c>
      <c r="H6" s="1" t="s">
        <v>190</v>
      </c>
      <c r="I6" t="s">
        <v>226</v>
      </c>
      <c r="J6" t="s">
        <v>274</v>
      </c>
      <c r="K6" t="s">
        <v>271</v>
      </c>
      <c r="L6" t="s">
        <v>238</v>
      </c>
      <c r="M6" t="s">
        <v>275</v>
      </c>
      <c r="N6" t="s">
        <v>231</v>
      </c>
      <c r="O6" s="4" t="s">
        <v>462</v>
      </c>
      <c r="P6" t="s">
        <v>568</v>
      </c>
      <c r="Q6" t="s">
        <v>569</v>
      </c>
      <c r="R6" s="4"/>
      <c r="S6" t="s">
        <v>568</v>
      </c>
      <c r="T6" t="s">
        <v>382</v>
      </c>
    </row>
    <row r="7" spans="1:20" x14ac:dyDescent="0.35">
      <c r="A7" s="14" t="s">
        <v>10</v>
      </c>
      <c r="B7" t="s">
        <v>25</v>
      </c>
      <c r="C7">
        <v>2017</v>
      </c>
      <c r="D7" s="8" t="s">
        <v>64</v>
      </c>
      <c r="E7" t="s">
        <v>103</v>
      </c>
      <c r="F7" t="s">
        <v>140</v>
      </c>
      <c r="G7" t="s">
        <v>177</v>
      </c>
      <c r="H7" t="s">
        <v>191</v>
      </c>
      <c r="I7" t="s">
        <v>225</v>
      </c>
      <c r="J7" t="s">
        <v>276</v>
      </c>
      <c r="K7" t="s">
        <v>271</v>
      </c>
      <c r="L7" t="s">
        <v>238</v>
      </c>
      <c r="M7" t="s">
        <v>272</v>
      </c>
      <c r="N7" t="s">
        <v>234</v>
      </c>
      <c r="O7" s="4" t="s">
        <v>463</v>
      </c>
      <c r="P7" t="s">
        <v>571</v>
      </c>
      <c r="Q7" t="s">
        <v>569</v>
      </c>
      <c r="R7" s="4"/>
      <c r="S7" t="s">
        <v>2043</v>
      </c>
      <c r="T7" t="s">
        <v>382</v>
      </c>
    </row>
    <row r="8" spans="1:20" x14ac:dyDescent="0.35">
      <c r="A8" s="14" t="s">
        <v>10</v>
      </c>
      <c r="B8" t="s">
        <v>26</v>
      </c>
      <c r="C8">
        <v>2022</v>
      </c>
      <c r="D8" s="8" t="s">
        <v>65</v>
      </c>
      <c r="E8" t="s">
        <v>104</v>
      </c>
      <c r="F8" t="s">
        <v>141</v>
      </c>
      <c r="G8" t="s">
        <v>174</v>
      </c>
      <c r="H8" t="s">
        <v>192</v>
      </c>
      <c r="I8" t="s">
        <v>226</v>
      </c>
      <c r="J8" t="s">
        <v>276</v>
      </c>
      <c r="K8" t="s">
        <v>271</v>
      </c>
      <c r="L8" t="s">
        <v>238</v>
      </c>
      <c r="M8" t="s">
        <v>272</v>
      </c>
      <c r="N8" t="s">
        <v>240</v>
      </c>
      <c r="O8" s="4" t="s">
        <v>464</v>
      </c>
      <c r="P8" t="s">
        <v>571</v>
      </c>
      <c r="Q8" t="s">
        <v>569</v>
      </c>
      <c r="R8" s="4"/>
      <c r="S8" t="s">
        <v>2043</v>
      </c>
      <c r="T8" t="s">
        <v>382</v>
      </c>
    </row>
    <row r="9" spans="1:20" x14ac:dyDescent="0.35">
      <c r="A9" s="14" t="s">
        <v>10</v>
      </c>
      <c r="B9" t="s">
        <v>27</v>
      </c>
      <c r="C9">
        <v>2019</v>
      </c>
      <c r="D9" s="8" t="s">
        <v>66</v>
      </c>
      <c r="E9" t="s">
        <v>105</v>
      </c>
      <c r="F9" t="s">
        <v>142</v>
      </c>
      <c r="G9" t="s">
        <v>178</v>
      </c>
      <c r="H9" t="s">
        <v>193</v>
      </c>
      <c r="I9" t="s">
        <v>225</v>
      </c>
      <c r="J9" t="s">
        <v>276</v>
      </c>
      <c r="K9" t="s">
        <v>271</v>
      </c>
      <c r="L9" t="s">
        <v>238</v>
      </c>
      <c r="M9" t="s">
        <v>272</v>
      </c>
      <c r="N9" t="s">
        <v>235</v>
      </c>
      <c r="O9" s="4" t="s">
        <v>236</v>
      </c>
      <c r="P9" t="s">
        <v>571</v>
      </c>
      <c r="Q9" t="s">
        <v>569</v>
      </c>
      <c r="R9" s="4"/>
      <c r="S9" t="s">
        <v>2043</v>
      </c>
      <c r="T9" t="s">
        <v>382</v>
      </c>
    </row>
    <row r="10" spans="1:20" x14ac:dyDescent="0.35">
      <c r="A10" s="14" t="s">
        <v>10</v>
      </c>
      <c r="B10" t="s">
        <v>28</v>
      </c>
      <c r="C10">
        <v>2020</v>
      </c>
      <c r="D10" s="8" t="s">
        <v>67</v>
      </c>
      <c r="E10" t="s">
        <v>106</v>
      </c>
      <c r="F10" t="s">
        <v>143</v>
      </c>
      <c r="G10" t="s">
        <v>174</v>
      </c>
      <c r="H10" t="s">
        <v>194</v>
      </c>
      <c r="I10" t="s">
        <v>227</v>
      </c>
      <c r="J10" t="s">
        <v>277</v>
      </c>
      <c r="K10" t="s">
        <v>271</v>
      </c>
      <c r="L10" t="s">
        <v>238</v>
      </c>
      <c r="M10" t="s">
        <v>272</v>
      </c>
      <c r="N10" t="s">
        <v>235</v>
      </c>
      <c r="O10" s="4" t="s">
        <v>237</v>
      </c>
      <c r="P10" t="s">
        <v>568</v>
      </c>
      <c r="Q10" t="s">
        <v>569</v>
      </c>
      <c r="R10" s="4"/>
      <c r="S10" t="s">
        <v>2043</v>
      </c>
      <c r="T10" t="s">
        <v>382</v>
      </c>
    </row>
    <row r="11" spans="1:20" x14ac:dyDescent="0.35">
      <c r="A11" s="14" t="s">
        <v>10</v>
      </c>
      <c r="B11" t="s">
        <v>29</v>
      </c>
      <c r="C11">
        <v>2022</v>
      </c>
      <c r="D11" s="8" t="s">
        <v>68</v>
      </c>
      <c r="E11" t="s">
        <v>107</v>
      </c>
      <c r="F11" t="s">
        <v>144</v>
      </c>
      <c r="G11" t="s">
        <v>174</v>
      </c>
      <c r="H11" t="s">
        <v>195</v>
      </c>
      <c r="I11" t="s">
        <v>226</v>
      </c>
      <c r="J11" t="s">
        <v>277</v>
      </c>
      <c r="K11" t="s">
        <v>271</v>
      </c>
      <c r="L11" t="s">
        <v>238</v>
      </c>
      <c r="M11" t="s">
        <v>275</v>
      </c>
      <c r="N11" t="s">
        <v>238</v>
      </c>
      <c r="O11" s="4" t="s">
        <v>239</v>
      </c>
      <c r="P11" t="s">
        <v>568</v>
      </c>
      <c r="Q11" t="s">
        <v>569</v>
      </c>
      <c r="R11" s="4"/>
      <c r="S11" t="s">
        <v>2043</v>
      </c>
      <c r="T11" t="s">
        <v>382</v>
      </c>
    </row>
    <row r="12" spans="1:20" x14ac:dyDescent="0.35">
      <c r="A12" s="14" t="s">
        <v>11</v>
      </c>
      <c r="B12" t="s">
        <v>30</v>
      </c>
      <c r="C12">
        <v>2022</v>
      </c>
      <c r="D12" s="8" t="s">
        <v>69</v>
      </c>
      <c r="E12" t="s">
        <v>108</v>
      </c>
      <c r="F12" t="s">
        <v>145</v>
      </c>
      <c r="G12" t="s">
        <v>174</v>
      </c>
      <c r="H12" s="1" t="s">
        <v>196</v>
      </c>
      <c r="I12" t="s">
        <v>226</v>
      </c>
      <c r="J12" t="s">
        <v>278</v>
      </c>
      <c r="K12" t="s">
        <v>271</v>
      </c>
      <c r="L12" t="s">
        <v>238</v>
      </c>
      <c r="M12" t="s">
        <v>275</v>
      </c>
      <c r="N12" t="s">
        <v>235</v>
      </c>
      <c r="O12" s="4" t="s">
        <v>242</v>
      </c>
      <c r="P12" t="s">
        <v>568</v>
      </c>
      <c r="Q12" t="s">
        <v>569</v>
      </c>
      <c r="R12" s="4"/>
      <c r="S12" t="s">
        <v>568</v>
      </c>
      <c r="T12" t="s">
        <v>382</v>
      </c>
    </row>
    <row r="13" spans="1:20" x14ac:dyDescent="0.35">
      <c r="A13" s="14" t="s">
        <v>11</v>
      </c>
      <c r="B13" t="s">
        <v>31</v>
      </c>
      <c r="C13">
        <v>2010</v>
      </c>
      <c r="D13" s="8" t="s">
        <v>70</v>
      </c>
      <c r="E13" t="s">
        <v>109</v>
      </c>
      <c r="F13" t="s">
        <v>146</v>
      </c>
      <c r="G13" t="s">
        <v>174</v>
      </c>
      <c r="H13" t="s">
        <v>197</v>
      </c>
      <c r="I13" t="s">
        <v>227</v>
      </c>
      <c r="J13" t="s">
        <v>277</v>
      </c>
      <c r="K13" t="s">
        <v>271</v>
      </c>
      <c r="L13" t="s">
        <v>238</v>
      </c>
      <c r="M13" t="s">
        <v>272</v>
      </c>
      <c r="N13" t="s">
        <v>240</v>
      </c>
      <c r="O13" s="4" t="s">
        <v>243</v>
      </c>
      <c r="P13" t="s">
        <v>568</v>
      </c>
      <c r="Q13" t="s">
        <v>569</v>
      </c>
      <c r="R13" s="4"/>
      <c r="S13" t="s">
        <v>568</v>
      </c>
      <c r="T13" t="s">
        <v>382</v>
      </c>
    </row>
    <row r="14" spans="1:20" x14ac:dyDescent="0.35">
      <c r="A14" s="14" t="s">
        <v>11</v>
      </c>
      <c r="B14" t="s">
        <v>32</v>
      </c>
      <c r="C14">
        <v>2021</v>
      </c>
      <c r="D14" s="8" t="s">
        <v>71</v>
      </c>
      <c r="E14" t="s">
        <v>110</v>
      </c>
      <c r="F14" t="s">
        <v>147</v>
      </c>
      <c r="G14" t="s">
        <v>174</v>
      </c>
      <c r="H14" s="1" t="s">
        <v>198</v>
      </c>
      <c r="I14" t="s">
        <v>227</v>
      </c>
      <c r="J14" t="s">
        <v>278</v>
      </c>
      <c r="K14" t="s">
        <v>271</v>
      </c>
      <c r="L14" t="s">
        <v>238</v>
      </c>
      <c r="M14" t="s">
        <v>275</v>
      </c>
      <c r="N14" t="s">
        <v>240</v>
      </c>
      <c r="O14" s="4" t="s">
        <v>241</v>
      </c>
      <c r="P14" t="s">
        <v>568</v>
      </c>
      <c r="Q14" t="s">
        <v>569</v>
      </c>
      <c r="R14" s="4"/>
      <c r="S14" t="s">
        <v>568</v>
      </c>
      <c r="T14" t="s">
        <v>382</v>
      </c>
    </row>
    <row r="15" spans="1:20" x14ac:dyDescent="0.35">
      <c r="A15" s="14" t="s">
        <v>12</v>
      </c>
      <c r="B15" t="s">
        <v>33</v>
      </c>
      <c r="C15">
        <v>2010</v>
      </c>
      <c r="D15" s="8" t="s">
        <v>72</v>
      </c>
      <c r="E15" t="s">
        <v>111</v>
      </c>
      <c r="F15" t="s">
        <v>148</v>
      </c>
      <c r="G15" t="s">
        <v>174</v>
      </c>
      <c r="H15" t="s">
        <v>199</v>
      </c>
      <c r="I15" t="s">
        <v>227</v>
      </c>
      <c r="J15" t="s">
        <v>270</v>
      </c>
      <c r="K15" t="s">
        <v>271</v>
      </c>
      <c r="L15" t="s">
        <v>238</v>
      </c>
      <c r="M15" t="s">
        <v>272</v>
      </c>
      <c r="N15" t="s">
        <v>244</v>
      </c>
      <c r="O15" s="4" t="s">
        <v>245</v>
      </c>
      <c r="P15" t="s">
        <v>568</v>
      </c>
      <c r="Q15" t="s">
        <v>569</v>
      </c>
      <c r="R15" s="4"/>
      <c r="S15" t="s">
        <v>568</v>
      </c>
      <c r="T15" t="s">
        <v>382</v>
      </c>
    </row>
    <row r="16" spans="1:20" x14ac:dyDescent="0.35">
      <c r="A16" s="14" t="s">
        <v>12</v>
      </c>
      <c r="B16" t="s">
        <v>34</v>
      </c>
      <c r="C16">
        <v>2022</v>
      </c>
      <c r="D16" s="8" t="s">
        <v>73</v>
      </c>
      <c r="E16" t="s">
        <v>112</v>
      </c>
      <c r="F16" t="s">
        <v>149</v>
      </c>
      <c r="G16" t="s">
        <v>174</v>
      </c>
      <c r="H16" s="1" t="s">
        <v>200</v>
      </c>
      <c r="I16" t="s">
        <v>226</v>
      </c>
      <c r="J16" t="s">
        <v>270</v>
      </c>
      <c r="K16" t="s">
        <v>271</v>
      </c>
      <c r="L16" t="s">
        <v>238</v>
      </c>
      <c r="M16" t="s">
        <v>272</v>
      </c>
      <c r="N16" t="s">
        <v>244</v>
      </c>
      <c r="O16" s="4" t="s">
        <v>246</v>
      </c>
      <c r="P16" t="s">
        <v>568</v>
      </c>
      <c r="Q16" t="s">
        <v>569</v>
      </c>
      <c r="R16" s="4"/>
      <c r="S16" t="s">
        <v>568</v>
      </c>
      <c r="T16" t="s">
        <v>382</v>
      </c>
    </row>
    <row r="17" spans="1:20" x14ac:dyDescent="0.35">
      <c r="A17" s="14" t="s">
        <v>12</v>
      </c>
      <c r="B17" t="s">
        <v>35</v>
      </c>
      <c r="C17">
        <v>2005</v>
      </c>
      <c r="D17" s="9" t="s">
        <v>74</v>
      </c>
      <c r="E17" t="s">
        <v>113</v>
      </c>
      <c r="F17" t="s">
        <v>150</v>
      </c>
      <c r="G17" t="s">
        <v>179</v>
      </c>
      <c r="H17" t="s">
        <v>201</v>
      </c>
      <c r="I17" t="s">
        <v>227</v>
      </c>
      <c r="J17" t="s">
        <v>270</v>
      </c>
      <c r="K17" t="s">
        <v>271</v>
      </c>
      <c r="L17" t="s">
        <v>238</v>
      </c>
      <c r="M17" t="s">
        <v>272</v>
      </c>
      <c r="N17" t="s">
        <v>240</v>
      </c>
      <c r="O17" s="4" t="s">
        <v>246</v>
      </c>
      <c r="P17" t="s">
        <v>568</v>
      </c>
      <c r="Q17" t="s">
        <v>569</v>
      </c>
      <c r="R17" s="4"/>
      <c r="S17" t="s">
        <v>568</v>
      </c>
      <c r="T17" t="s">
        <v>382</v>
      </c>
    </row>
    <row r="18" spans="1:20" x14ac:dyDescent="0.35">
      <c r="A18" s="14" t="s">
        <v>13</v>
      </c>
      <c r="B18" t="s">
        <v>36</v>
      </c>
      <c r="C18">
        <v>2014</v>
      </c>
      <c r="D18" s="8" t="s">
        <v>75</v>
      </c>
      <c r="E18" t="s">
        <v>114</v>
      </c>
      <c r="F18" t="s">
        <v>151</v>
      </c>
      <c r="G18" t="s">
        <v>174</v>
      </c>
      <c r="H18" s="1" t="s">
        <v>202</v>
      </c>
      <c r="I18" t="s">
        <v>226</v>
      </c>
      <c r="J18" t="s">
        <v>276</v>
      </c>
      <c r="K18" t="s">
        <v>271</v>
      </c>
      <c r="L18" t="s">
        <v>238</v>
      </c>
      <c r="M18" t="s">
        <v>275</v>
      </c>
      <c r="N18" t="s">
        <v>231</v>
      </c>
      <c r="O18" s="4" t="s">
        <v>247</v>
      </c>
      <c r="P18" t="s">
        <v>571</v>
      </c>
      <c r="Q18" t="s">
        <v>569</v>
      </c>
      <c r="R18" s="4"/>
      <c r="S18" t="s">
        <v>568</v>
      </c>
      <c r="T18" t="s">
        <v>382</v>
      </c>
    </row>
    <row r="19" spans="1:20" x14ac:dyDescent="0.35">
      <c r="A19" s="14" t="s">
        <v>13</v>
      </c>
      <c r="B19" t="s">
        <v>37</v>
      </c>
      <c r="C19">
        <v>2020</v>
      </c>
      <c r="D19" s="8" t="s">
        <v>76</v>
      </c>
      <c r="E19" t="s">
        <v>115</v>
      </c>
      <c r="F19" t="s">
        <v>152</v>
      </c>
      <c r="G19" t="s">
        <v>174</v>
      </c>
      <c r="H19" s="1" t="s">
        <v>203</v>
      </c>
      <c r="I19" t="s">
        <v>227</v>
      </c>
      <c r="J19" t="s">
        <v>279</v>
      </c>
      <c r="K19" t="s">
        <v>271</v>
      </c>
      <c r="L19" t="s">
        <v>238</v>
      </c>
      <c r="M19" t="s">
        <v>272</v>
      </c>
      <c r="N19" t="s">
        <v>231</v>
      </c>
      <c r="O19" s="4" t="s">
        <v>465</v>
      </c>
      <c r="P19" t="s">
        <v>568</v>
      </c>
      <c r="Q19" t="s">
        <v>569</v>
      </c>
      <c r="R19" s="4"/>
      <c r="S19" t="s">
        <v>568</v>
      </c>
      <c r="T19" t="s">
        <v>382</v>
      </c>
    </row>
    <row r="20" spans="1:20" x14ac:dyDescent="0.35">
      <c r="A20" s="14" t="s">
        <v>13</v>
      </c>
      <c r="B20" t="s">
        <v>38</v>
      </c>
      <c r="C20">
        <v>2018</v>
      </c>
      <c r="D20" s="9" t="s">
        <v>77</v>
      </c>
      <c r="E20" t="s">
        <v>116</v>
      </c>
      <c r="F20" t="s">
        <v>153</v>
      </c>
      <c r="G20" t="s">
        <v>180</v>
      </c>
      <c r="H20" t="s">
        <v>204</v>
      </c>
      <c r="I20" t="s">
        <v>227</v>
      </c>
      <c r="J20" t="s">
        <v>279</v>
      </c>
      <c r="K20" t="s">
        <v>280</v>
      </c>
      <c r="L20" t="s">
        <v>238</v>
      </c>
      <c r="M20" t="s">
        <v>272</v>
      </c>
      <c r="N20" t="s">
        <v>231</v>
      </c>
      <c r="O20" s="4" t="s">
        <v>248</v>
      </c>
      <c r="P20" t="s">
        <v>568</v>
      </c>
      <c r="Q20" t="s">
        <v>569</v>
      </c>
      <c r="R20" s="4"/>
      <c r="S20" t="s">
        <v>568</v>
      </c>
      <c r="T20" t="s">
        <v>382</v>
      </c>
    </row>
    <row r="21" spans="1:20" x14ac:dyDescent="0.35">
      <c r="A21" s="14" t="s">
        <v>14</v>
      </c>
      <c r="B21" t="s">
        <v>39</v>
      </c>
      <c r="C21">
        <v>1984</v>
      </c>
      <c r="D21" s="8" t="s">
        <v>78</v>
      </c>
      <c r="E21" t="s">
        <v>117</v>
      </c>
      <c r="F21" t="s">
        <v>154</v>
      </c>
      <c r="G21" t="s">
        <v>181</v>
      </c>
      <c r="H21" t="s">
        <v>205</v>
      </c>
      <c r="I21" t="s">
        <v>225</v>
      </c>
      <c r="J21" t="s">
        <v>281</v>
      </c>
      <c r="K21" t="s">
        <v>271</v>
      </c>
      <c r="L21" t="s">
        <v>238</v>
      </c>
      <c r="M21" t="s">
        <v>272</v>
      </c>
      <c r="N21" t="s">
        <v>249</v>
      </c>
      <c r="O21" s="4" t="s">
        <v>250</v>
      </c>
      <c r="P21" t="s">
        <v>572</v>
      </c>
      <c r="Q21" t="s">
        <v>569</v>
      </c>
      <c r="R21" s="4"/>
      <c r="S21" t="s">
        <v>572</v>
      </c>
      <c r="T21" t="s">
        <v>382</v>
      </c>
    </row>
    <row r="22" spans="1:20" x14ac:dyDescent="0.35">
      <c r="A22" s="14" t="s">
        <v>14</v>
      </c>
      <c r="B22" t="s">
        <v>40</v>
      </c>
      <c r="C22">
        <v>1991</v>
      </c>
      <c r="D22" s="8" t="s">
        <v>79</v>
      </c>
      <c r="E22" t="s">
        <v>118</v>
      </c>
      <c r="F22" t="s">
        <v>155</v>
      </c>
      <c r="G22" t="s">
        <v>174</v>
      </c>
      <c r="H22" t="s">
        <v>206</v>
      </c>
      <c r="I22" t="s">
        <v>225</v>
      </c>
      <c r="J22" t="s">
        <v>281</v>
      </c>
      <c r="K22" t="s">
        <v>271</v>
      </c>
      <c r="L22" t="s">
        <v>238</v>
      </c>
      <c r="M22" t="s">
        <v>272</v>
      </c>
      <c r="N22" t="s">
        <v>249</v>
      </c>
      <c r="O22" s="4" t="s">
        <v>251</v>
      </c>
      <c r="P22" t="s">
        <v>572</v>
      </c>
      <c r="Q22" t="s">
        <v>569</v>
      </c>
      <c r="R22" s="4"/>
      <c r="S22" t="s">
        <v>572</v>
      </c>
      <c r="T22" t="s">
        <v>382</v>
      </c>
    </row>
    <row r="23" spans="1:20" x14ac:dyDescent="0.35">
      <c r="A23" s="14" t="s">
        <v>14</v>
      </c>
      <c r="B23" t="s">
        <v>41</v>
      </c>
      <c r="C23">
        <v>2009</v>
      </c>
      <c r="D23" s="8" t="s">
        <v>80</v>
      </c>
      <c r="E23" t="s">
        <v>119</v>
      </c>
      <c r="F23" t="s">
        <v>156</v>
      </c>
      <c r="G23" t="s">
        <v>174</v>
      </c>
      <c r="H23" t="s">
        <v>207</v>
      </c>
      <c r="I23" t="s">
        <v>225</v>
      </c>
      <c r="J23" t="s">
        <v>281</v>
      </c>
      <c r="K23" t="s">
        <v>271</v>
      </c>
      <c r="L23" t="s">
        <v>238</v>
      </c>
      <c r="M23" t="s">
        <v>272</v>
      </c>
      <c r="N23" t="s">
        <v>466</v>
      </c>
      <c r="O23" s="4" t="s">
        <v>467</v>
      </c>
      <c r="P23" t="s">
        <v>572</v>
      </c>
      <c r="Q23" t="s">
        <v>569</v>
      </c>
      <c r="R23" s="4"/>
      <c r="S23" t="s">
        <v>572</v>
      </c>
      <c r="T23" t="s">
        <v>382</v>
      </c>
    </row>
    <row r="24" spans="1:20" x14ac:dyDescent="0.35">
      <c r="A24" s="14" t="s">
        <v>14</v>
      </c>
      <c r="B24" t="s">
        <v>42</v>
      </c>
      <c r="C24">
        <v>2022</v>
      </c>
      <c r="D24" s="8" t="s">
        <v>81</v>
      </c>
      <c r="E24" t="s">
        <v>120</v>
      </c>
      <c r="F24" t="s">
        <v>157</v>
      </c>
      <c r="G24" t="s">
        <v>178</v>
      </c>
      <c r="H24" t="s">
        <v>208</v>
      </c>
      <c r="I24" t="s">
        <v>226</v>
      </c>
      <c r="J24" t="s">
        <v>281</v>
      </c>
      <c r="K24" t="s">
        <v>271</v>
      </c>
      <c r="L24" t="s">
        <v>238</v>
      </c>
      <c r="M24" t="s">
        <v>272</v>
      </c>
      <c r="N24" t="s">
        <v>234</v>
      </c>
      <c r="O24" s="4" t="s">
        <v>253</v>
      </c>
      <c r="P24" t="s">
        <v>572</v>
      </c>
      <c r="Q24" t="s">
        <v>569</v>
      </c>
      <c r="R24" s="4"/>
      <c r="S24" t="s">
        <v>572</v>
      </c>
      <c r="T24" t="s">
        <v>382</v>
      </c>
    </row>
    <row r="25" spans="1:20" x14ac:dyDescent="0.35">
      <c r="A25" s="14" t="s">
        <v>14</v>
      </c>
      <c r="B25" t="s">
        <v>43</v>
      </c>
      <c r="C25">
        <v>2001</v>
      </c>
      <c r="D25" s="8" t="s">
        <v>82</v>
      </c>
      <c r="E25" t="s">
        <v>121</v>
      </c>
      <c r="F25" t="s">
        <v>158</v>
      </c>
      <c r="G25" t="s">
        <v>174</v>
      </c>
      <c r="H25" s="1" t="s">
        <v>209</v>
      </c>
      <c r="I25" t="s">
        <v>227</v>
      </c>
      <c r="J25" t="s">
        <v>281</v>
      </c>
      <c r="K25" t="s">
        <v>271</v>
      </c>
      <c r="L25" t="s">
        <v>238</v>
      </c>
      <c r="M25" t="s">
        <v>272</v>
      </c>
      <c r="N25" t="s">
        <v>240</v>
      </c>
      <c r="O25" s="4" t="s">
        <v>252</v>
      </c>
      <c r="P25" t="s">
        <v>572</v>
      </c>
      <c r="Q25" t="s">
        <v>569</v>
      </c>
      <c r="R25" s="4"/>
      <c r="S25" t="s">
        <v>572</v>
      </c>
      <c r="T25" t="s">
        <v>382</v>
      </c>
    </row>
    <row r="26" spans="1:20" x14ac:dyDescent="0.35">
      <c r="A26" s="14" t="s">
        <v>15</v>
      </c>
      <c r="B26" t="s">
        <v>44</v>
      </c>
      <c r="C26">
        <v>1996</v>
      </c>
      <c r="D26" s="8" t="s">
        <v>83</v>
      </c>
      <c r="E26" t="s">
        <v>122</v>
      </c>
      <c r="F26" t="s">
        <v>159</v>
      </c>
      <c r="G26" t="s">
        <v>174</v>
      </c>
      <c r="H26" s="1" t="s">
        <v>210</v>
      </c>
      <c r="I26" t="s">
        <v>225</v>
      </c>
      <c r="J26" t="s">
        <v>273</v>
      </c>
      <c r="K26" t="s">
        <v>271</v>
      </c>
      <c r="L26" t="s">
        <v>238</v>
      </c>
      <c r="M26" t="s">
        <v>272</v>
      </c>
      <c r="N26" t="s">
        <v>468</v>
      </c>
      <c r="O26" s="4" t="s">
        <v>469</v>
      </c>
      <c r="P26" t="s">
        <v>570</v>
      </c>
      <c r="Q26" t="s">
        <v>569</v>
      </c>
      <c r="R26" s="4"/>
      <c r="S26" t="s">
        <v>2042</v>
      </c>
      <c r="T26" t="s">
        <v>382</v>
      </c>
    </row>
    <row r="27" spans="1:20" x14ac:dyDescent="0.35">
      <c r="A27" s="14" t="s">
        <v>15</v>
      </c>
      <c r="B27" t="s">
        <v>45</v>
      </c>
      <c r="C27">
        <v>2015</v>
      </c>
      <c r="D27" s="8" t="s">
        <v>84</v>
      </c>
      <c r="E27" t="s">
        <v>123</v>
      </c>
      <c r="F27" t="s">
        <v>160</v>
      </c>
      <c r="G27" t="s">
        <v>174</v>
      </c>
      <c r="H27" t="s">
        <v>211</v>
      </c>
      <c r="I27" t="s">
        <v>226</v>
      </c>
      <c r="J27" t="s">
        <v>278</v>
      </c>
      <c r="K27" t="s">
        <v>271</v>
      </c>
      <c r="L27" t="s">
        <v>238</v>
      </c>
      <c r="M27" t="s">
        <v>272</v>
      </c>
      <c r="N27" t="s">
        <v>240</v>
      </c>
      <c r="O27" s="4" t="s">
        <v>260</v>
      </c>
      <c r="P27" t="s">
        <v>568</v>
      </c>
      <c r="Q27" t="s">
        <v>569</v>
      </c>
      <c r="R27" s="4"/>
      <c r="S27" t="s">
        <v>2042</v>
      </c>
      <c r="T27" t="s">
        <v>382</v>
      </c>
    </row>
    <row r="28" spans="1:20" x14ac:dyDescent="0.35">
      <c r="A28" s="14" t="s">
        <v>15</v>
      </c>
      <c r="B28" t="s">
        <v>46</v>
      </c>
      <c r="C28">
        <v>2015</v>
      </c>
      <c r="D28" s="8" t="s">
        <v>85</v>
      </c>
      <c r="E28" t="s">
        <v>124</v>
      </c>
      <c r="F28" t="s">
        <v>161</v>
      </c>
      <c r="G28" t="s">
        <v>182</v>
      </c>
      <c r="H28" s="1" t="s">
        <v>212</v>
      </c>
      <c r="I28" t="s">
        <v>227</v>
      </c>
      <c r="J28" t="s">
        <v>278</v>
      </c>
      <c r="K28" t="s">
        <v>271</v>
      </c>
      <c r="L28" t="s">
        <v>238</v>
      </c>
      <c r="M28" t="s">
        <v>275</v>
      </c>
      <c r="N28" t="s">
        <v>240</v>
      </c>
      <c r="O28" s="4" t="s">
        <v>259</v>
      </c>
      <c r="P28" t="s">
        <v>568</v>
      </c>
      <c r="Q28" t="s">
        <v>569</v>
      </c>
      <c r="R28" s="4"/>
      <c r="S28" t="s">
        <v>2042</v>
      </c>
      <c r="T28" t="s">
        <v>382</v>
      </c>
    </row>
    <row r="29" spans="1:20" x14ac:dyDescent="0.35">
      <c r="A29" s="14" t="s">
        <v>16</v>
      </c>
      <c r="B29" t="s">
        <v>47</v>
      </c>
      <c r="C29">
        <v>2009</v>
      </c>
      <c r="D29" s="8" t="s">
        <v>86</v>
      </c>
      <c r="E29" t="s">
        <v>125</v>
      </c>
      <c r="F29" t="s">
        <v>162</v>
      </c>
      <c r="G29" t="s">
        <v>174</v>
      </c>
      <c r="H29" s="1" t="s">
        <v>213</v>
      </c>
      <c r="I29" t="s">
        <v>226</v>
      </c>
      <c r="J29" t="s">
        <v>270</v>
      </c>
      <c r="K29" t="s">
        <v>271</v>
      </c>
      <c r="L29" t="s">
        <v>238</v>
      </c>
      <c r="M29" t="s">
        <v>275</v>
      </c>
      <c r="N29" t="s">
        <v>240</v>
      </c>
      <c r="O29" s="4" t="s">
        <v>257</v>
      </c>
      <c r="P29" t="s">
        <v>568</v>
      </c>
      <c r="Q29" t="s">
        <v>569</v>
      </c>
      <c r="R29" s="4"/>
      <c r="S29" t="s">
        <v>2042</v>
      </c>
      <c r="T29" t="s">
        <v>382</v>
      </c>
    </row>
    <row r="30" spans="1:20" x14ac:dyDescent="0.35">
      <c r="A30" s="14" t="s">
        <v>16</v>
      </c>
      <c r="B30" t="s">
        <v>48</v>
      </c>
      <c r="C30">
        <v>2013</v>
      </c>
      <c r="D30" s="8" t="s">
        <v>87</v>
      </c>
      <c r="E30" t="s">
        <v>126</v>
      </c>
      <c r="F30" t="s">
        <v>163</v>
      </c>
      <c r="G30" t="s">
        <v>174</v>
      </c>
      <c r="H30" t="s">
        <v>214</v>
      </c>
      <c r="I30" t="s">
        <v>227</v>
      </c>
      <c r="J30" t="s">
        <v>270</v>
      </c>
      <c r="K30" t="s">
        <v>271</v>
      </c>
      <c r="L30" t="s">
        <v>238</v>
      </c>
      <c r="M30" t="s">
        <v>272</v>
      </c>
      <c r="N30" t="s">
        <v>240</v>
      </c>
      <c r="O30" s="4" t="s">
        <v>470</v>
      </c>
      <c r="P30" t="s">
        <v>568</v>
      </c>
      <c r="Q30" t="s">
        <v>569</v>
      </c>
      <c r="R30" s="4"/>
      <c r="S30" t="s">
        <v>2042</v>
      </c>
      <c r="T30" t="s">
        <v>382</v>
      </c>
    </row>
    <row r="31" spans="1:20" x14ac:dyDescent="0.35">
      <c r="A31" s="14" t="s">
        <v>16</v>
      </c>
      <c r="B31" t="s">
        <v>49</v>
      </c>
      <c r="C31">
        <v>2019</v>
      </c>
      <c r="D31" s="8" t="s">
        <v>88</v>
      </c>
      <c r="E31" t="s">
        <v>127</v>
      </c>
      <c r="F31" t="s">
        <v>164</v>
      </c>
      <c r="G31" t="s">
        <v>183</v>
      </c>
      <c r="H31" s="1" t="s">
        <v>215</v>
      </c>
      <c r="I31" t="s">
        <v>227</v>
      </c>
      <c r="J31" t="s">
        <v>276</v>
      </c>
      <c r="K31" t="s">
        <v>271</v>
      </c>
      <c r="L31" t="s">
        <v>238</v>
      </c>
      <c r="M31" t="s">
        <v>272</v>
      </c>
      <c r="N31" t="s">
        <v>240</v>
      </c>
      <c r="O31" s="4" t="s">
        <v>258</v>
      </c>
      <c r="P31" t="s">
        <v>568</v>
      </c>
      <c r="Q31" t="s">
        <v>569</v>
      </c>
      <c r="R31" s="4"/>
      <c r="S31" t="s">
        <v>2042</v>
      </c>
      <c r="T31" t="s">
        <v>382</v>
      </c>
    </row>
    <row r="32" spans="1:20" x14ac:dyDescent="0.35">
      <c r="A32" s="14" t="s">
        <v>17</v>
      </c>
      <c r="B32" t="s">
        <v>50</v>
      </c>
      <c r="C32">
        <v>2001</v>
      </c>
      <c r="D32" s="8" t="s">
        <v>89</v>
      </c>
      <c r="E32" t="s">
        <v>122</v>
      </c>
      <c r="F32" t="s">
        <v>165</v>
      </c>
      <c r="G32" t="s">
        <v>174</v>
      </c>
      <c r="H32" s="1" t="s">
        <v>216</v>
      </c>
      <c r="I32" t="s">
        <v>226</v>
      </c>
      <c r="J32" t="s">
        <v>278</v>
      </c>
      <c r="K32" t="s">
        <v>271</v>
      </c>
      <c r="L32" t="s">
        <v>238</v>
      </c>
      <c r="M32" t="s">
        <v>275</v>
      </c>
      <c r="N32" t="s">
        <v>240</v>
      </c>
      <c r="O32" s="4" t="s">
        <v>254</v>
      </c>
      <c r="P32" t="s">
        <v>568</v>
      </c>
      <c r="Q32" t="s">
        <v>569</v>
      </c>
      <c r="R32" s="4"/>
      <c r="S32" t="s">
        <v>2042</v>
      </c>
      <c r="T32" t="s">
        <v>382</v>
      </c>
    </row>
    <row r="33" spans="1:20" x14ac:dyDescent="0.35">
      <c r="A33" s="14" t="s">
        <v>17</v>
      </c>
      <c r="B33" t="s">
        <v>51</v>
      </c>
      <c r="C33">
        <v>2003</v>
      </c>
      <c r="D33" s="8" t="s">
        <v>90</v>
      </c>
      <c r="E33" t="s">
        <v>128</v>
      </c>
      <c r="F33" t="s">
        <v>166</v>
      </c>
      <c r="G33" t="s">
        <v>184</v>
      </c>
      <c r="H33" t="s">
        <v>217</v>
      </c>
      <c r="I33" t="s">
        <v>227</v>
      </c>
      <c r="J33" t="s">
        <v>278</v>
      </c>
      <c r="K33" t="s">
        <v>271</v>
      </c>
      <c r="L33" t="s">
        <v>238</v>
      </c>
      <c r="M33" t="s">
        <v>272</v>
      </c>
      <c r="N33" t="s">
        <v>244</v>
      </c>
      <c r="O33" s="4" t="s">
        <v>471</v>
      </c>
      <c r="P33" t="s">
        <v>568</v>
      </c>
      <c r="Q33" t="s">
        <v>569</v>
      </c>
      <c r="R33" s="4"/>
      <c r="S33" t="s">
        <v>2042</v>
      </c>
      <c r="T33" t="s">
        <v>382</v>
      </c>
    </row>
    <row r="34" spans="1:20" x14ac:dyDescent="0.35">
      <c r="A34" s="14" t="s">
        <v>17</v>
      </c>
      <c r="B34" t="s">
        <v>52</v>
      </c>
      <c r="C34">
        <v>2020</v>
      </c>
      <c r="D34" s="8" t="s">
        <v>91</v>
      </c>
      <c r="E34" t="s">
        <v>129</v>
      </c>
      <c r="F34" t="s">
        <v>167</v>
      </c>
      <c r="G34" t="s">
        <v>174</v>
      </c>
      <c r="H34" t="s">
        <v>218</v>
      </c>
      <c r="I34" t="s">
        <v>226</v>
      </c>
      <c r="J34" t="s">
        <v>270</v>
      </c>
      <c r="K34" t="s">
        <v>271</v>
      </c>
      <c r="L34" t="s">
        <v>238</v>
      </c>
      <c r="M34" t="s">
        <v>272</v>
      </c>
      <c r="N34" t="s">
        <v>255</v>
      </c>
      <c r="O34" s="4" t="s">
        <v>256</v>
      </c>
      <c r="P34" t="s">
        <v>568</v>
      </c>
      <c r="Q34" t="s">
        <v>569</v>
      </c>
      <c r="R34" s="4"/>
      <c r="S34" t="s">
        <v>2042</v>
      </c>
      <c r="T34" t="s">
        <v>382</v>
      </c>
    </row>
    <row r="35" spans="1:20" x14ac:dyDescent="0.35">
      <c r="A35" s="14" t="s">
        <v>18</v>
      </c>
      <c r="B35" t="s">
        <v>53</v>
      </c>
      <c r="C35">
        <v>2012</v>
      </c>
      <c r="D35" s="8" t="s">
        <v>92</v>
      </c>
      <c r="E35" t="s">
        <v>130</v>
      </c>
      <c r="F35" t="s">
        <v>168</v>
      </c>
      <c r="G35" t="s">
        <v>175</v>
      </c>
      <c r="H35" t="s">
        <v>219</v>
      </c>
      <c r="I35" t="s">
        <v>225</v>
      </c>
      <c r="J35" t="s">
        <v>282</v>
      </c>
      <c r="K35" t="s">
        <v>283</v>
      </c>
      <c r="L35" t="s">
        <v>284</v>
      </c>
      <c r="M35" t="s">
        <v>285</v>
      </c>
      <c r="N35" t="s">
        <v>261</v>
      </c>
      <c r="O35" s="4" t="s">
        <v>472</v>
      </c>
      <c r="P35" t="s">
        <v>573</v>
      </c>
      <c r="Q35" t="s">
        <v>569</v>
      </c>
      <c r="R35" s="4"/>
      <c r="S35" t="s">
        <v>568</v>
      </c>
      <c r="T35" t="s">
        <v>382</v>
      </c>
    </row>
    <row r="36" spans="1:20" x14ac:dyDescent="0.35">
      <c r="A36" s="14" t="s">
        <v>18</v>
      </c>
      <c r="B36" t="s">
        <v>54</v>
      </c>
      <c r="C36">
        <v>2018</v>
      </c>
      <c r="D36" s="8" t="s">
        <v>93</v>
      </c>
      <c r="E36" t="s">
        <v>131</v>
      </c>
      <c r="F36" t="s">
        <v>169</v>
      </c>
      <c r="G36" t="s">
        <v>174</v>
      </c>
      <c r="H36" t="s">
        <v>220</v>
      </c>
      <c r="I36" t="s">
        <v>225</v>
      </c>
      <c r="J36" t="s">
        <v>273</v>
      </c>
      <c r="K36" t="s">
        <v>271</v>
      </c>
      <c r="L36" t="s">
        <v>238</v>
      </c>
      <c r="M36" t="s">
        <v>272</v>
      </c>
      <c r="N36" t="s">
        <v>249</v>
      </c>
      <c r="O36" s="4" t="s">
        <v>264</v>
      </c>
      <c r="P36" t="s">
        <v>574</v>
      </c>
      <c r="Q36" t="s">
        <v>569</v>
      </c>
      <c r="R36" s="4"/>
      <c r="S36" t="s">
        <v>568</v>
      </c>
      <c r="T36" t="s">
        <v>382</v>
      </c>
    </row>
    <row r="37" spans="1:20" x14ac:dyDescent="0.35">
      <c r="A37" s="14" t="s">
        <v>18</v>
      </c>
      <c r="B37" t="s">
        <v>55</v>
      </c>
      <c r="C37">
        <v>2020</v>
      </c>
      <c r="D37" s="8" t="s">
        <v>94</v>
      </c>
      <c r="E37" t="s">
        <v>127</v>
      </c>
      <c r="F37" t="s">
        <v>170</v>
      </c>
      <c r="G37" t="s">
        <v>183</v>
      </c>
      <c r="H37" s="1" t="s">
        <v>221</v>
      </c>
      <c r="I37" t="s">
        <v>226</v>
      </c>
      <c r="J37" t="s">
        <v>273</v>
      </c>
      <c r="K37" t="s">
        <v>283</v>
      </c>
      <c r="L37" t="s">
        <v>284</v>
      </c>
      <c r="M37" t="s">
        <v>275</v>
      </c>
      <c r="N37" t="s">
        <v>240</v>
      </c>
      <c r="O37" s="4" t="s">
        <v>473</v>
      </c>
      <c r="P37" t="s">
        <v>575</v>
      </c>
      <c r="Q37" t="s">
        <v>569</v>
      </c>
      <c r="R37" s="4"/>
      <c r="S37" t="s">
        <v>568</v>
      </c>
      <c r="T37" t="s">
        <v>382</v>
      </c>
    </row>
    <row r="38" spans="1:20" x14ac:dyDescent="0.35">
      <c r="A38" s="14" t="s">
        <v>18</v>
      </c>
      <c r="B38" t="s">
        <v>56</v>
      </c>
      <c r="C38">
        <v>2021</v>
      </c>
      <c r="D38" s="8" t="s">
        <v>95</v>
      </c>
      <c r="E38" t="s">
        <v>132</v>
      </c>
      <c r="F38" t="s">
        <v>171</v>
      </c>
      <c r="G38" t="s">
        <v>174</v>
      </c>
      <c r="H38" t="s">
        <v>222</v>
      </c>
      <c r="I38" t="s">
        <v>226</v>
      </c>
      <c r="J38" t="s">
        <v>276</v>
      </c>
      <c r="K38" t="s">
        <v>271</v>
      </c>
      <c r="L38" t="s">
        <v>284</v>
      </c>
      <c r="M38" t="s">
        <v>275</v>
      </c>
      <c r="N38" t="s">
        <v>240</v>
      </c>
      <c r="O38" s="4" t="s">
        <v>474</v>
      </c>
      <c r="P38" t="s">
        <v>575</v>
      </c>
      <c r="Q38" t="s">
        <v>569</v>
      </c>
      <c r="R38" s="4"/>
      <c r="S38" t="s">
        <v>568</v>
      </c>
      <c r="T38" t="s">
        <v>382</v>
      </c>
    </row>
    <row r="39" spans="1:20" x14ac:dyDescent="0.35">
      <c r="A39" s="14" t="s">
        <v>18</v>
      </c>
      <c r="B39" t="s">
        <v>57</v>
      </c>
      <c r="C39">
        <v>2021</v>
      </c>
      <c r="D39" s="8" t="s">
        <v>96</v>
      </c>
      <c r="E39" t="s">
        <v>133</v>
      </c>
      <c r="F39" t="s">
        <v>172</v>
      </c>
      <c r="G39" t="s">
        <v>174</v>
      </c>
      <c r="H39" s="1" t="s">
        <v>223</v>
      </c>
      <c r="I39" t="s">
        <v>226</v>
      </c>
      <c r="J39" t="s">
        <v>273</v>
      </c>
      <c r="K39" t="s">
        <v>271</v>
      </c>
      <c r="L39" t="s">
        <v>238</v>
      </c>
      <c r="M39" t="s">
        <v>275</v>
      </c>
      <c r="N39" t="s">
        <v>262</v>
      </c>
      <c r="O39" s="4" t="s">
        <v>263</v>
      </c>
      <c r="P39" t="s">
        <v>568</v>
      </c>
      <c r="Q39" t="s">
        <v>569</v>
      </c>
      <c r="R39" s="4"/>
      <c r="S39" t="s">
        <v>568</v>
      </c>
      <c r="T39" t="s">
        <v>382</v>
      </c>
    </row>
    <row r="40" spans="1:20" x14ac:dyDescent="0.35">
      <c r="A40" s="14" t="s">
        <v>19</v>
      </c>
      <c r="B40" t="s">
        <v>58</v>
      </c>
      <c r="C40">
        <v>2005</v>
      </c>
      <c r="D40" s="8" t="s">
        <v>97</v>
      </c>
      <c r="E40" t="s">
        <v>134</v>
      </c>
      <c r="F40" t="s">
        <v>173</v>
      </c>
      <c r="G40" t="s">
        <v>185</v>
      </c>
      <c r="H40" s="1" t="s">
        <v>224</v>
      </c>
      <c r="I40" t="s">
        <v>225</v>
      </c>
      <c r="J40" t="s">
        <v>273</v>
      </c>
      <c r="K40" t="s">
        <v>280</v>
      </c>
      <c r="L40" t="s">
        <v>284</v>
      </c>
      <c r="M40" t="s">
        <v>275</v>
      </c>
      <c r="N40" t="s">
        <v>265</v>
      </c>
      <c r="O40" s="4" t="s">
        <v>475</v>
      </c>
      <c r="P40" t="s">
        <v>576</v>
      </c>
      <c r="Q40" t="s">
        <v>569</v>
      </c>
      <c r="R40" s="4"/>
      <c r="S40" t="s">
        <v>568</v>
      </c>
      <c r="T40" t="s">
        <v>2044</v>
      </c>
    </row>
    <row r="41" spans="1:20" x14ac:dyDescent="0.35">
      <c r="A41" s="14" t="s">
        <v>286</v>
      </c>
      <c r="B41" t="s">
        <v>287</v>
      </c>
      <c r="C41">
        <v>2012</v>
      </c>
      <c r="D41" s="10" t="s">
        <v>288</v>
      </c>
      <c r="E41" t="s">
        <v>289</v>
      </c>
      <c r="F41" t="s">
        <v>290</v>
      </c>
      <c r="G41" t="s">
        <v>291</v>
      </c>
      <c r="H41" t="s">
        <v>292</v>
      </c>
      <c r="I41" t="s">
        <v>225</v>
      </c>
      <c r="J41" t="s">
        <v>282</v>
      </c>
      <c r="K41" t="s">
        <v>283</v>
      </c>
      <c r="L41" t="s">
        <v>284</v>
      </c>
      <c r="M41" t="s">
        <v>285</v>
      </c>
      <c r="N41" t="s">
        <v>476</v>
      </c>
      <c r="O41" s="4" t="s">
        <v>477</v>
      </c>
      <c r="P41" t="s">
        <v>573</v>
      </c>
      <c r="Q41" t="s">
        <v>569</v>
      </c>
      <c r="R41" s="4"/>
      <c r="S41" t="s">
        <v>573</v>
      </c>
      <c r="T41" t="s">
        <v>382</v>
      </c>
    </row>
    <row r="42" spans="1:20" ht="29" x14ac:dyDescent="0.35">
      <c r="A42" s="14" t="s">
        <v>286</v>
      </c>
      <c r="B42" t="s">
        <v>293</v>
      </c>
      <c r="C42">
        <v>2013</v>
      </c>
      <c r="D42" s="8" t="s">
        <v>294</v>
      </c>
      <c r="E42" t="s">
        <v>295</v>
      </c>
      <c r="F42" t="s">
        <v>296</v>
      </c>
      <c r="G42" t="s">
        <v>297</v>
      </c>
      <c r="H42" t="s">
        <v>298</v>
      </c>
      <c r="I42" t="s">
        <v>225</v>
      </c>
      <c r="J42" t="s">
        <v>282</v>
      </c>
      <c r="K42" t="s">
        <v>283</v>
      </c>
      <c r="L42" t="s">
        <v>284</v>
      </c>
      <c r="M42" t="s">
        <v>285</v>
      </c>
      <c r="N42" t="s">
        <v>478</v>
      </c>
      <c r="O42" s="4" t="s">
        <v>479</v>
      </c>
      <c r="P42" t="s">
        <v>573</v>
      </c>
      <c r="Q42" t="s">
        <v>569</v>
      </c>
      <c r="R42" s="4"/>
      <c r="S42" t="s">
        <v>573</v>
      </c>
      <c r="T42" t="s">
        <v>382</v>
      </c>
    </row>
    <row r="43" spans="1:20" x14ac:dyDescent="0.35">
      <c r="A43" s="14" t="s">
        <v>286</v>
      </c>
      <c r="B43" t="s">
        <v>293</v>
      </c>
      <c r="C43">
        <v>2022</v>
      </c>
      <c r="D43" s="8" t="s">
        <v>299</v>
      </c>
      <c r="E43" t="s">
        <v>300</v>
      </c>
      <c r="F43" t="s">
        <v>301</v>
      </c>
      <c r="G43" t="s">
        <v>302</v>
      </c>
      <c r="H43" t="s">
        <v>303</v>
      </c>
      <c r="I43" t="s">
        <v>225</v>
      </c>
      <c r="J43" t="s">
        <v>282</v>
      </c>
      <c r="K43" t="s">
        <v>283</v>
      </c>
      <c r="L43" t="s">
        <v>284</v>
      </c>
      <c r="M43" t="s">
        <v>285</v>
      </c>
      <c r="N43" t="s">
        <v>233</v>
      </c>
      <c r="O43" s="4" t="s">
        <v>480</v>
      </c>
      <c r="P43" t="s">
        <v>573</v>
      </c>
      <c r="Q43" t="s">
        <v>569</v>
      </c>
      <c r="R43" s="4"/>
      <c r="S43" t="s">
        <v>573</v>
      </c>
      <c r="T43" t="s">
        <v>382</v>
      </c>
    </row>
    <row r="44" spans="1:20" x14ac:dyDescent="0.35">
      <c r="A44" s="14" t="s">
        <v>286</v>
      </c>
      <c r="B44" t="s">
        <v>304</v>
      </c>
      <c r="C44">
        <v>2015</v>
      </c>
      <c r="D44" s="10" t="s">
        <v>305</v>
      </c>
      <c r="E44" t="s">
        <v>306</v>
      </c>
      <c r="F44" t="s">
        <v>307</v>
      </c>
      <c r="G44" t="s">
        <v>308</v>
      </c>
      <c r="H44" t="s">
        <v>309</v>
      </c>
      <c r="I44" t="s">
        <v>226</v>
      </c>
      <c r="J44" t="s">
        <v>282</v>
      </c>
      <c r="K44" t="s">
        <v>283</v>
      </c>
      <c r="L44" t="s">
        <v>238</v>
      </c>
      <c r="M44" t="s">
        <v>275</v>
      </c>
      <c r="N44" t="s">
        <v>233</v>
      </c>
      <c r="O44" s="4" t="s">
        <v>481</v>
      </c>
      <c r="P44" t="s">
        <v>573</v>
      </c>
      <c r="Q44" t="s">
        <v>569</v>
      </c>
      <c r="R44" s="4"/>
      <c r="S44" t="s">
        <v>573</v>
      </c>
      <c r="T44" t="s">
        <v>382</v>
      </c>
    </row>
    <row r="45" spans="1:20" ht="29" x14ac:dyDescent="0.35">
      <c r="A45" s="14" t="s">
        <v>286</v>
      </c>
      <c r="B45" t="s">
        <v>310</v>
      </c>
      <c r="C45">
        <v>2011</v>
      </c>
      <c r="D45" s="8" t="s">
        <v>311</v>
      </c>
      <c r="E45" t="s">
        <v>312</v>
      </c>
      <c r="F45" t="s">
        <v>313</v>
      </c>
      <c r="G45" t="s">
        <v>314</v>
      </c>
      <c r="H45" t="s">
        <v>315</v>
      </c>
      <c r="I45" t="s">
        <v>226</v>
      </c>
      <c r="J45" t="s">
        <v>282</v>
      </c>
      <c r="K45" t="s">
        <v>283</v>
      </c>
      <c r="L45" t="s">
        <v>316</v>
      </c>
      <c r="M45" t="s">
        <v>275</v>
      </c>
      <c r="N45" t="s">
        <v>482</v>
      </c>
      <c r="O45" s="4" t="s">
        <v>483</v>
      </c>
      <c r="P45" t="s">
        <v>573</v>
      </c>
      <c r="Q45" t="s">
        <v>569</v>
      </c>
      <c r="R45" s="4"/>
      <c r="S45" t="s">
        <v>573</v>
      </c>
      <c r="T45" t="s">
        <v>382</v>
      </c>
    </row>
    <row r="46" spans="1:20" x14ac:dyDescent="0.35">
      <c r="A46" s="14" t="s">
        <v>286</v>
      </c>
      <c r="B46" t="s">
        <v>317</v>
      </c>
      <c r="C46">
        <v>2013</v>
      </c>
      <c r="D46" s="8" t="s">
        <v>318</v>
      </c>
      <c r="E46" t="s">
        <v>319</v>
      </c>
      <c r="F46" t="s">
        <v>320</v>
      </c>
      <c r="G46" t="s">
        <v>174</v>
      </c>
      <c r="H46" t="s">
        <v>321</v>
      </c>
      <c r="I46" t="s">
        <v>226</v>
      </c>
      <c r="J46" t="s">
        <v>282</v>
      </c>
      <c r="K46" t="s">
        <v>283</v>
      </c>
      <c r="L46" t="s">
        <v>284</v>
      </c>
      <c r="M46" t="s">
        <v>285</v>
      </c>
      <c r="N46" t="s">
        <v>484</v>
      </c>
      <c r="O46" s="4" t="s">
        <v>485</v>
      </c>
      <c r="P46" t="s">
        <v>573</v>
      </c>
      <c r="Q46" t="s">
        <v>569</v>
      </c>
      <c r="R46" s="4"/>
      <c r="S46" t="s">
        <v>573</v>
      </c>
      <c r="T46" t="s">
        <v>382</v>
      </c>
    </row>
    <row r="47" spans="1:20" x14ac:dyDescent="0.35">
      <c r="A47" s="14" t="s">
        <v>286</v>
      </c>
      <c r="B47" t="s">
        <v>322</v>
      </c>
      <c r="C47">
        <v>2009</v>
      </c>
      <c r="D47" s="8" t="s">
        <v>323</v>
      </c>
      <c r="E47" t="s">
        <v>324</v>
      </c>
      <c r="F47" t="s">
        <v>325</v>
      </c>
      <c r="G47" t="s">
        <v>174</v>
      </c>
      <c r="H47" t="s">
        <v>326</v>
      </c>
      <c r="I47" t="s">
        <v>227</v>
      </c>
      <c r="J47" t="s">
        <v>282</v>
      </c>
      <c r="K47" t="s">
        <v>283</v>
      </c>
      <c r="L47" t="s">
        <v>238</v>
      </c>
      <c r="M47" t="s">
        <v>272</v>
      </c>
      <c r="N47" t="s">
        <v>240</v>
      </c>
      <c r="O47" s="4" t="s">
        <v>486</v>
      </c>
      <c r="P47" t="s">
        <v>573</v>
      </c>
      <c r="Q47" t="s">
        <v>569</v>
      </c>
      <c r="R47" s="4"/>
      <c r="S47" t="s">
        <v>573</v>
      </c>
      <c r="T47" t="s">
        <v>382</v>
      </c>
    </row>
    <row r="48" spans="1:20" x14ac:dyDescent="0.35">
      <c r="A48" s="14" t="s">
        <v>286</v>
      </c>
      <c r="B48" t="s">
        <v>327</v>
      </c>
      <c r="C48">
        <v>2010</v>
      </c>
      <c r="D48" s="10" t="s">
        <v>328</v>
      </c>
      <c r="E48" t="s">
        <v>329</v>
      </c>
      <c r="F48" t="s">
        <v>330</v>
      </c>
      <c r="G48" t="s">
        <v>291</v>
      </c>
      <c r="H48" t="s">
        <v>331</v>
      </c>
      <c r="I48" t="s">
        <v>227</v>
      </c>
      <c r="J48" t="s">
        <v>282</v>
      </c>
      <c r="K48" t="s">
        <v>283</v>
      </c>
      <c r="L48" t="s">
        <v>238</v>
      </c>
      <c r="M48" t="s">
        <v>272</v>
      </c>
      <c r="N48" t="s">
        <v>476</v>
      </c>
      <c r="O48" s="4" t="s">
        <v>487</v>
      </c>
      <c r="P48" t="s">
        <v>573</v>
      </c>
      <c r="Q48" t="s">
        <v>569</v>
      </c>
      <c r="R48" s="4"/>
      <c r="S48" t="s">
        <v>573</v>
      </c>
      <c r="T48" t="s">
        <v>382</v>
      </c>
    </row>
    <row r="49" spans="1:20" ht="29" x14ac:dyDescent="0.35">
      <c r="A49" s="14" t="s">
        <v>332</v>
      </c>
      <c r="B49" t="s">
        <v>333</v>
      </c>
      <c r="C49">
        <v>2024</v>
      </c>
      <c r="D49" s="10" t="s">
        <v>334</v>
      </c>
      <c r="E49" t="s">
        <v>335</v>
      </c>
      <c r="F49" t="s">
        <v>336</v>
      </c>
      <c r="G49" t="s">
        <v>174</v>
      </c>
      <c r="H49" t="s">
        <v>337</v>
      </c>
      <c r="I49" t="s">
        <v>225</v>
      </c>
      <c r="J49" t="s">
        <v>273</v>
      </c>
      <c r="K49" t="s">
        <v>283</v>
      </c>
      <c r="L49" t="s">
        <v>238</v>
      </c>
      <c r="M49" t="s">
        <v>285</v>
      </c>
      <c r="N49" t="s">
        <v>238</v>
      </c>
      <c r="O49" s="4" t="s">
        <v>488</v>
      </c>
      <c r="P49" t="s">
        <v>576</v>
      </c>
      <c r="Q49" t="s">
        <v>569</v>
      </c>
      <c r="R49" s="4"/>
      <c r="S49" t="s">
        <v>573</v>
      </c>
      <c r="T49" t="s">
        <v>382</v>
      </c>
    </row>
    <row r="50" spans="1:20" x14ac:dyDescent="0.35">
      <c r="A50" s="14" t="s">
        <v>332</v>
      </c>
      <c r="B50" t="s">
        <v>338</v>
      </c>
      <c r="C50">
        <v>2023</v>
      </c>
      <c r="D50" s="8" t="s">
        <v>339</v>
      </c>
      <c r="E50" t="s">
        <v>340</v>
      </c>
      <c r="F50" t="s">
        <v>341</v>
      </c>
      <c r="G50" t="s">
        <v>174</v>
      </c>
      <c r="H50" t="s">
        <v>342</v>
      </c>
      <c r="I50" t="s">
        <v>225</v>
      </c>
      <c r="J50" t="s">
        <v>282</v>
      </c>
      <c r="K50" t="s">
        <v>271</v>
      </c>
      <c r="L50" t="s">
        <v>284</v>
      </c>
      <c r="M50" t="s">
        <v>285</v>
      </c>
      <c r="N50" t="s">
        <v>255</v>
      </c>
      <c r="O50" s="4" t="s">
        <v>489</v>
      </c>
      <c r="P50" t="s">
        <v>573</v>
      </c>
      <c r="Q50" t="s">
        <v>569</v>
      </c>
      <c r="R50" s="4"/>
      <c r="S50" t="s">
        <v>573</v>
      </c>
      <c r="T50" t="s">
        <v>382</v>
      </c>
    </row>
    <row r="51" spans="1:20" x14ac:dyDescent="0.35">
      <c r="A51" s="14" t="s">
        <v>332</v>
      </c>
      <c r="B51" t="s">
        <v>343</v>
      </c>
      <c r="C51">
        <v>2021</v>
      </c>
      <c r="D51" s="8" t="s">
        <v>344</v>
      </c>
      <c r="E51" t="s">
        <v>345</v>
      </c>
      <c r="F51" t="s">
        <v>346</v>
      </c>
      <c r="G51" t="s">
        <v>174</v>
      </c>
      <c r="H51" t="s">
        <v>347</v>
      </c>
      <c r="I51" t="s">
        <v>226</v>
      </c>
      <c r="J51" t="s">
        <v>282</v>
      </c>
      <c r="K51" t="s">
        <v>283</v>
      </c>
      <c r="L51" t="s">
        <v>284</v>
      </c>
      <c r="M51" t="s">
        <v>285</v>
      </c>
      <c r="N51" t="s">
        <v>490</v>
      </c>
      <c r="O51" s="4" t="s">
        <v>491</v>
      </c>
      <c r="P51" t="s">
        <v>573</v>
      </c>
      <c r="Q51" t="s">
        <v>569</v>
      </c>
      <c r="R51" s="4"/>
      <c r="S51" t="s">
        <v>573</v>
      </c>
      <c r="T51" t="s">
        <v>382</v>
      </c>
    </row>
    <row r="52" spans="1:20" x14ac:dyDescent="0.35">
      <c r="A52" s="14" t="s">
        <v>332</v>
      </c>
      <c r="B52" t="s">
        <v>348</v>
      </c>
      <c r="C52">
        <v>2025</v>
      </c>
      <c r="D52" s="8" t="s">
        <v>349</v>
      </c>
      <c r="E52" t="s">
        <v>350</v>
      </c>
      <c r="F52" t="s">
        <v>351</v>
      </c>
      <c r="G52" t="s">
        <v>174</v>
      </c>
      <c r="H52" t="s">
        <v>352</v>
      </c>
      <c r="I52" t="s">
        <v>226</v>
      </c>
      <c r="J52" t="s">
        <v>282</v>
      </c>
      <c r="K52" t="s">
        <v>271</v>
      </c>
      <c r="L52" t="s">
        <v>284</v>
      </c>
      <c r="M52" t="s">
        <v>285</v>
      </c>
      <c r="N52" t="s">
        <v>492</v>
      </c>
      <c r="O52" s="4" t="s">
        <v>493</v>
      </c>
      <c r="P52" t="s">
        <v>573</v>
      </c>
      <c r="Q52" t="s">
        <v>569</v>
      </c>
      <c r="R52" s="4"/>
      <c r="S52" t="s">
        <v>573</v>
      </c>
      <c r="T52" t="s">
        <v>382</v>
      </c>
    </row>
    <row r="53" spans="1:20" x14ac:dyDescent="0.35">
      <c r="A53" s="14" t="s">
        <v>332</v>
      </c>
      <c r="B53" t="s">
        <v>353</v>
      </c>
      <c r="C53">
        <v>2025</v>
      </c>
      <c r="D53" s="8" t="s">
        <v>354</v>
      </c>
      <c r="E53" t="s">
        <v>355</v>
      </c>
      <c r="F53" t="s">
        <v>356</v>
      </c>
      <c r="G53" t="s">
        <v>174</v>
      </c>
      <c r="H53" t="s">
        <v>357</v>
      </c>
      <c r="I53" t="s">
        <v>227</v>
      </c>
      <c r="J53" t="s">
        <v>282</v>
      </c>
      <c r="K53" t="s">
        <v>271</v>
      </c>
      <c r="L53" t="s">
        <v>284</v>
      </c>
      <c r="M53" t="s">
        <v>275</v>
      </c>
      <c r="N53" t="s">
        <v>494</v>
      </c>
      <c r="O53" s="4" t="s">
        <v>495</v>
      </c>
      <c r="P53" t="s">
        <v>573</v>
      </c>
      <c r="Q53" t="s">
        <v>569</v>
      </c>
      <c r="R53" s="4"/>
      <c r="S53" t="s">
        <v>573</v>
      </c>
      <c r="T53" t="s">
        <v>382</v>
      </c>
    </row>
    <row r="54" spans="1:20" x14ac:dyDescent="0.35">
      <c r="A54" s="14" t="s">
        <v>332</v>
      </c>
      <c r="B54" t="s">
        <v>358</v>
      </c>
      <c r="C54">
        <v>2017</v>
      </c>
      <c r="D54" s="8" t="s">
        <v>359</v>
      </c>
      <c r="E54" t="s">
        <v>360</v>
      </c>
      <c r="F54" t="s">
        <v>361</v>
      </c>
      <c r="G54" t="s">
        <v>174</v>
      </c>
      <c r="H54" t="s">
        <v>362</v>
      </c>
      <c r="I54" t="s">
        <v>227</v>
      </c>
      <c r="J54" t="s">
        <v>282</v>
      </c>
      <c r="K54" t="s">
        <v>283</v>
      </c>
      <c r="L54" t="s">
        <v>284</v>
      </c>
      <c r="M54" t="s">
        <v>275</v>
      </c>
      <c r="N54" t="s">
        <v>496</v>
      </c>
      <c r="O54" s="4" t="s">
        <v>497</v>
      </c>
      <c r="P54" t="s">
        <v>573</v>
      </c>
      <c r="Q54" t="s">
        <v>569</v>
      </c>
      <c r="R54" s="4"/>
      <c r="S54" t="s">
        <v>573</v>
      </c>
      <c r="T54" t="s">
        <v>382</v>
      </c>
    </row>
    <row r="55" spans="1:20" x14ac:dyDescent="0.35">
      <c r="A55" s="14" t="s">
        <v>404</v>
      </c>
      <c r="B55" t="s">
        <v>405</v>
      </c>
      <c r="C55">
        <v>2018</v>
      </c>
      <c r="D55" s="8" t="s">
        <v>406</v>
      </c>
      <c r="E55" t="s">
        <v>407</v>
      </c>
      <c r="F55" t="s">
        <v>408</v>
      </c>
      <c r="G55" t="s">
        <v>409</v>
      </c>
      <c r="H55" t="s">
        <v>410</v>
      </c>
      <c r="I55" t="s">
        <v>225</v>
      </c>
      <c r="J55" t="s">
        <v>276</v>
      </c>
      <c r="K55" t="s">
        <v>271</v>
      </c>
      <c r="L55" t="s">
        <v>284</v>
      </c>
      <c r="M55" t="s">
        <v>285</v>
      </c>
      <c r="N55" t="s">
        <v>233</v>
      </c>
      <c r="O55" s="4" t="s">
        <v>498</v>
      </c>
      <c r="P55" t="s">
        <v>571</v>
      </c>
      <c r="Q55" t="s">
        <v>569</v>
      </c>
      <c r="R55" s="4"/>
      <c r="S55" t="s">
        <v>571</v>
      </c>
      <c r="T55" t="s">
        <v>382</v>
      </c>
    </row>
    <row r="56" spans="1:20" x14ac:dyDescent="0.35">
      <c r="A56" s="14" t="s">
        <v>404</v>
      </c>
      <c r="B56" t="s">
        <v>411</v>
      </c>
      <c r="C56">
        <v>2014</v>
      </c>
      <c r="D56" s="8" t="s">
        <v>412</v>
      </c>
      <c r="E56" t="s">
        <v>413</v>
      </c>
      <c r="F56" t="s">
        <v>414</v>
      </c>
      <c r="G56" t="s">
        <v>174</v>
      </c>
      <c r="H56" t="s">
        <v>415</v>
      </c>
      <c r="I56" t="s">
        <v>225</v>
      </c>
      <c r="J56" t="s">
        <v>276</v>
      </c>
      <c r="K56" t="s">
        <v>271</v>
      </c>
      <c r="L56" t="s">
        <v>284</v>
      </c>
      <c r="M56" t="s">
        <v>285</v>
      </c>
      <c r="N56" t="s">
        <v>240</v>
      </c>
      <c r="O56" s="4" t="s">
        <v>499</v>
      </c>
      <c r="P56" t="s">
        <v>571</v>
      </c>
      <c r="Q56" t="s">
        <v>569</v>
      </c>
      <c r="R56" s="4"/>
      <c r="S56" t="s">
        <v>571</v>
      </c>
      <c r="T56" t="s">
        <v>382</v>
      </c>
    </row>
    <row r="57" spans="1:20" x14ac:dyDescent="0.35">
      <c r="A57" s="14" t="s">
        <v>404</v>
      </c>
      <c r="B57" t="s">
        <v>416</v>
      </c>
      <c r="C57">
        <v>2012</v>
      </c>
      <c r="D57" s="8" t="s">
        <v>417</v>
      </c>
      <c r="E57" t="s">
        <v>418</v>
      </c>
      <c r="F57" t="s">
        <v>419</v>
      </c>
      <c r="G57" t="s">
        <v>174</v>
      </c>
      <c r="H57" t="s">
        <v>420</v>
      </c>
      <c r="I57" t="s">
        <v>225</v>
      </c>
      <c r="J57" t="s">
        <v>282</v>
      </c>
      <c r="K57" t="s">
        <v>283</v>
      </c>
      <c r="L57" t="s">
        <v>284</v>
      </c>
      <c r="M57" t="s">
        <v>285</v>
      </c>
      <c r="N57" t="s">
        <v>496</v>
      </c>
      <c r="O57" s="4" t="s">
        <v>500</v>
      </c>
      <c r="P57" t="s">
        <v>577</v>
      </c>
      <c r="Q57" t="s">
        <v>569</v>
      </c>
      <c r="R57" s="4"/>
      <c r="S57" t="s">
        <v>571</v>
      </c>
      <c r="T57" t="s">
        <v>382</v>
      </c>
    </row>
    <row r="58" spans="1:20" x14ac:dyDescent="0.35">
      <c r="A58" s="14" t="s">
        <v>404</v>
      </c>
      <c r="B58" t="s">
        <v>421</v>
      </c>
      <c r="C58">
        <v>2008</v>
      </c>
      <c r="D58" s="8" t="s">
        <v>422</v>
      </c>
      <c r="E58" t="s">
        <v>423</v>
      </c>
      <c r="F58" t="s">
        <v>424</v>
      </c>
      <c r="G58" t="s">
        <v>175</v>
      </c>
      <c r="H58" t="s">
        <v>425</v>
      </c>
      <c r="I58" t="s">
        <v>226</v>
      </c>
      <c r="J58" t="s">
        <v>276</v>
      </c>
      <c r="K58" t="s">
        <v>283</v>
      </c>
      <c r="L58" t="s">
        <v>284</v>
      </c>
      <c r="M58" t="s">
        <v>285</v>
      </c>
      <c r="N58" t="s">
        <v>229</v>
      </c>
      <c r="O58" s="4" t="s">
        <v>501</v>
      </c>
      <c r="P58" t="s">
        <v>571</v>
      </c>
      <c r="Q58" t="s">
        <v>569</v>
      </c>
      <c r="R58" s="4"/>
      <c r="S58" t="s">
        <v>571</v>
      </c>
      <c r="T58" t="s">
        <v>382</v>
      </c>
    </row>
    <row r="59" spans="1:20" x14ac:dyDescent="0.35">
      <c r="A59" s="14" t="s">
        <v>404</v>
      </c>
      <c r="B59" t="s">
        <v>426</v>
      </c>
      <c r="C59">
        <v>2022</v>
      </c>
      <c r="D59" s="8" t="s">
        <v>427</v>
      </c>
      <c r="E59" t="s">
        <v>428</v>
      </c>
      <c r="F59" t="s">
        <v>429</v>
      </c>
      <c r="G59" t="s">
        <v>183</v>
      </c>
      <c r="H59" t="s">
        <v>430</v>
      </c>
      <c r="I59" t="s">
        <v>226</v>
      </c>
      <c r="J59" t="s">
        <v>276</v>
      </c>
      <c r="K59" t="s">
        <v>271</v>
      </c>
      <c r="L59" t="s">
        <v>284</v>
      </c>
      <c r="M59" t="s">
        <v>285</v>
      </c>
      <c r="N59" t="s">
        <v>502</v>
      </c>
      <c r="O59" s="4" t="s">
        <v>503</v>
      </c>
      <c r="P59" t="s">
        <v>571</v>
      </c>
      <c r="Q59" t="s">
        <v>569</v>
      </c>
      <c r="R59" s="4"/>
      <c r="S59" t="s">
        <v>571</v>
      </c>
      <c r="T59" t="s">
        <v>382</v>
      </c>
    </row>
    <row r="60" spans="1:20" x14ac:dyDescent="0.35">
      <c r="A60" s="14" t="s">
        <v>378</v>
      </c>
      <c r="B60" t="s">
        <v>431</v>
      </c>
      <c r="C60">
        <v>2022</v>
      </c>
      <c r="D60" s="8" t="s">
        <v>432</v>
      </c>
      <c r="E60" t="s">
        <v>433</v>
      </c>
      <c r="F60" t="s">
        <v>434</v>
      </c>
      <c r="G60" t="s">
        <v>435</v>
      </c>
      <c r="H60" t="s">
        <v>436</v>
      </c>
      <c r="I60" t="s">
        <v>225</v>
      </c>
      <c r="J60" t="s">
        <v>273</v>
      </c>
      <c r="K60" t="s">
        <v>271</v>
      </c>
      <c r="L60" t="s">
        <v>238</v>
      </c>
      <c r="M60" t="s">
        <v>275</v>
      </c>
      <c r="N60" t="s">
        <v>233</v>
      </c>
      <c r="O60" s="4" t="s">
        <v>504</v>
      </c>
      <c r="P60" t="s">
        <v>574</v>
      </c>
      <c r="Q60" t="s">
        <v>569</v>
      </c>
      <c r="R60" s="4"/>
      <c r="S60" t="s">
        <v>574</v>
      </c>
      <c r="T60" t="s">
        <v>382</v>
      </c>
    </row>
    <row r="61" spans="1:20" x14ac:dyDescent="0.35">
      <c r="A61" s="14" t="s">
        <v>378</v>
      </c>
      <c r="B61" t="s">
        <v>437</v>
      </c>
      <c r="C61">
        <v>2019</v>
      </c>
      <c r="D61" s="8" t="s">
        <v>438</v>
      </c>
      <c r="E61" t="s">
        <v>439</v>
      </c>
      <c r="F61" t="s">
        <v>440</v>
      </c>
      <c r="G61" t="s">
        <v>178</v>
      </c>
      <c r="H61" t="s">
        <v>441</v>
      </c>
      <c r="I61" t="s">
        <v>227</v>
      </c>
      <c r="J61" t="s">
        <v>273</v>
      </c>
      <c r="K61" t="s">
        <v>271</v>
      </c>
      <c r="L61" t="s">
        <v>238</v>
      </c>
      <c r="M61" t="s">
        <v>272</v>
      </c>
      <c r="N61" t="s">
        <v>235</v>
      </c>
      <c r="O61" s="4" t="s">
        <v>505</v>
      </c>
      <c r="P61" t="s">
        <v>574</v>
      </c>
      <c r="Q61" t="s">
        <v>569</v>
      </c>
      <c r="R61" s="4"/>
      <c r="S61" t="s">
        <v>574</v>
      </c>
      <c r="T61" t="s">
        <v>382</v>
      </c>
    </row>
    <row r="62" spans="1:20" x14ac:dyDescent="0.35">
      <c r="A62" s="14" t="s">
        <v>442</v>
      </c>
      <c r="B62" t="s">
        <v>443</v>
      </c>
      <c r="C62">
        <v>2010</v>
      </c>
      <c r="D62" s="10" t="s">
        <v>444</v>
      </c>
      <c r="E62" t="s">
        <v>445</v>
      </c>
      <c r="F62" t="s">
        <v>446</v>
      </c>
      <c r="G62" t="s">
        <v>291</v>
      </c>
      <c r="H62" t="s">
        <v>447</v>
      </c>
      <c r="I62" t="s">
        <v>225</v>
      </c>
      <c r="J62" t="s">
        <v>273</v>
      </c>
      <c r="K62" t="s">
        <v>271</v>
      </c>
      <c r="L62" t="s">
        <v>238</v>
      </c>
      <c r="M62" t="s">
        <v>272</v>
      </c>
      <c r="N62" t="s">
        <v>506</v>
      </c>
      <c r="O62" s="4" t="s">
        <v>507</v>
      </c>
      <c r="P62" t="s">
        <v>570</v>
      </c>
      <c r="Q62" t="s">
        <v>569</v>
      </c>
      <c r="R62" s="4"/>
      <c r="S62" t="s">
        <v>570</v>
      </c>
      <c r="T62" t="s">
        <v>382</v>
      </c>
    </row>
    <row r="63" spans="1:20" x14ac:dyDescent="0.35">
      <c r="A63" s="14" t="s">
        <v>442</v>
      </c>
      <c r="B63" t="s">
        <v>448</v>
      </c>
      <c r="C63">
        <v>1997</v>
      </c>
      <c r="D63" s="8" t="s">
        <v>449</v>
      </c>
      <c r="E63" t="s">
        <v>450</v>
      </c>
      <c r="F63" t="s">
        <v>451</v>
      </c>
      <c r="G63" t="s">
        <v>174</v>
      </c>
      <c r="H63" t="s">
        <v>452</v>
      </c>
      <c r="I63" t="s">
        <v>226</v>
      </c>
      <c r="J63" t="s">
        <v>281</v>
      </c>
      <c r="K63" t="s">
        <v>271</v>
      </c>
      <c r="L63" t="s">
        <v>238</v>
      </c>
      <c r="M63" t="s">
        <v>272</v>
      </c>
      <c r="N63" t="s">
        <v>240</v>
      </c>
      <c r="O63" s="4" t="s">
        <v>508</v>
      </c>
      <c r="P63" t="s">
        <v>570</v>
      </c>
      <c r="Q63" t="s">
        <v>569</v>
      </c>
      <c r="R63" s="4"/>
      <c r="S63" t="s">
        <v>570</v>
      </c>
      <c r="T63" t="s">
        <v>382</v>
      </c>
    </row>
    <row r="64" spans="1:20" x14ac:dyDescent="0.35">
      <c r="A64" s="14" t="s">
        <v>18</v>
      </c>
      <c r="B64" t="s">
        <v>453</v>
      </c>
      <c r="C64">
        <v>2006</v>
      </c>
      <c r="D64" s="8" t="s">
        <v>454</v>
      </c>
      <c r="E64" t="s">
        <v>455</v>
      </c>
      <c r="F64" t="s">
        <v>456</v>
      </c>
      <c r="G64" t="s">
        <v>297</v>
      </c>
      <c r="H64" t="s">
        <v>457</v>
      </c>
      <c r="I64" t="s">
        <v>227</v>
      </c>
      <c r="J64" t="s">
        <v>273</v>
      </c>
      <c r="K64" t="s">
        <v>283</v>
      </c>
      <c r="L64" t="s">
        <v>238</v>
      </c>
      <c r="M64" t="s">
        <v>275</v>
      </c>
      <c r="N64" t="s">
        <v>509</v>
      </c>
      <c r="O64" s="4" t="s">
        <v>510</v>
      </c>
      <c r="P64" t="s">
        <v>576</v>
      </c>
      <c r="Q64" t="s">
        <v>569</v>
      </c>
      <c r="R64" s="4"/>
      <c r="S64" t="s">
        <v>568</v>
      </c>
      <c r="T64" t="s">
        <v>382</v>
      </c>
    </row>
    <row r="65" spans="1:20" ht="29" x14ac:dyDescent="0.35">
      <c r="A65" s="14" t="s">
        <v>511</v>
      </c>
      <c r="B65" t="s">
        <v>512</v>
      </c>
      <c r="C65">
        <v>2017</v>
      </c>
      <c r="D65" s="8" t="s">
        <v>513</v>
      </c>
      <c r="E65" t="s">
        <v>514</v>
      </c>
      <c r="F65" t="s">
        <v>515</v>
      </c>
      <c r="G65" t="s">
        <v>516</v>
      </c>
      <c r="H65" t="s">
        <v>517</v>
      </c>
      <c r="I65" t="s">
        <v>225</v>
      </c>
      <c r="J65" t="s">
        <v>277</v>
      </c>
      <c r="K65" t="s">
        <v>271</v>
      </c>
      <c r="L65" t="s">
        <v>238</v>
      </c>
      <c r="M65" t="s">
        <v>275</v>
      </c>
      <c r="N65" t="s">
        <v>233</v>
      </c>
      <c r="O65" s="4" t="s">
        <v>518</v>
      </c>
      <c r="P65" t="s">
        <v>572</v>
      </c>
      <c r="Q65" t="s">
        <v>569</v>
      </c>
      <c r="R65" s="4"/>
      <c r="S65" t="s">
        <v>572</v>
      </c>
      <c r="T65" t="s">
        <v>382</v>
      </c>
    </row>
    <row r="66" spans="1:20" x14ac:dyDescent="0.35">
      <c r="A66" s="14" t="s">
        <v>442</v>
      </c>
      <c r="B66" t="s">
        <v>45</v>
      </c>
      <c r="C66">
        <v>2016</v>
      </c>
      <c r="D66" s="8" t="s">
        <v>519</v>
      </c>
      <c r="E66" t="s">
        <v>520</v>
      </c>
      <c r="F66" t="s">
        <v>521</v>
      </c>
      <c r="G66" t="s">
        <v>174</v>
      </c>
      <c r="H66" t="s">
        <v>522</v>
      </c>
      <c r="I66" t="s">
        <v>225</v>
      </c>
      <c r="J66" t="s">
        <v>273</v>
      </c>
      <c r="K66" t="s">
        <v>271</v>
      </c>
      <c r="L66" t="s">
        <v>238</v>
      </c>
      <c r="M66" t="s">
        <v>272</v>
      </c>
      <c r="N66" t="s">
        <v>233</v>
      </c>
      <c r="O66" s="4" t="s">
        <v>523</v>
      </c>
      <c r="P66" t="s">
        <v>570</v>
      </c>
      <c r="Q66" t="s">
        <v>569</v>
      </c>
      <c r="R66" s="4"/>
      <c r="S66" t="s">
        <v>570</v>
      </c>
      <c r="T66" t="s">
        <v>382</v>
      </c>
    </row>
    <row r="67" spans="1:20" x14ac:dyDescent="0.35">
      <c r="A67" s="14" t="s">
        <v>404</v>
      </c>
      <c r="B67" t="s">
        <v>524</v>
      </c>
      <c r="C67">
        <v>2022</v>
      </c>
      <c r="D67" s="8" t="s">
        <v>525</v>
      </c>
      <c r="E67" t="s">
        <v>526</v>
      </c>
      <c r="F67" t="s">
        <v>527</v>
      </c>
      <c r="G67" t="s">
        <v>174</v>
      </c>
      <c r="H67" t="s">
        <v>528</v>
      </c>
      <c r="I67" t="s">
        <v>225</v>
      </c>
      <c r="J67" t="s">
        <v>276</v>
      </c>
      <c r="K67" t="s">
        <v>271</v>
      </c>
      <c r="L67" t="s">
        <v>284</v>
      </c>
      <c r="M67" t="s">
        <v>285</v>
      </c>
      <c r="N67" t="s">
        <v>255</v>
      </c>
      <c r="O67" s="4" t="s">
        <v>529</v>
      </c>
      <c r="P67" t="s">
        <v>571</v>
      </c>
      <c r="Q67" t="s">
        <v>569</v>
      </c>
      <c r="R67" s="4"/>
      <c r="S67" t="s">
        <v>571</v>
      </c>
      <c r="T67" t="s">
        <v>382</v>
      </c>
    </row>
    <row r="68" spans="1:20" ht="29" x14ac:dyDescent="0.35">
      <c r="A68" s="14" t="s">
        <v>404</v>
      </c>
      <c r="B68" t="s">
        <v>530</v>
      </c>
      <c r="C68">
        <v>2021</v>
      </c>
      <c r="D68" s="8" t="s">
        <v>531</v>
      </c>
      <c r="E68" t="s">
        <v>532</v>
      </c>
      <c r="F68" t="s">
        <v>533</v>
      </c>
      <c r="G68" t="s">
        <v>534</v>
      </c>
      <c r="H68" t="s">
        <v>535</v>
      </c>
      <c r="I68" t="s">
        <v>226</v>
      </c>
      <c r="J68" t="s">
        <v>276</v>
      </c>
      <c r="K68" t="s">
        <v>271</v>
      </c>
      <c r="L68" t="s">
        <v>284</v>
      </c>
      <c r="M68" t="s">
        <v>285</v>
      </c>
      <c r="N68" t="s">
        <v>234</v>
      </c>
      <c r="O68" s="4" t="s">
        <v>536</v>
      </c>
      <c r="P68" t="s">
        <v>571</v>
      </c>
      <c r="Q68" t="s">
        <v>569</v>
      </c>
      <c r="R68" s="4"/>
      <c r="S68" t="s">
        <v>571</v>
      </c>
      <c r="T68" t="s">
        <v>382</v>
      </c>
    </row>
    <row r="69" spans="1:20" x14ac:dyDescent="0.35">
      <c r="A69" s="14" t="s">
        <v>404</v>
      </c>
      <c r="B69" t="s">
        <v>537</v>
      </c>
      <c r="C69">
        <v>2023</v>
      </c>
      <c r="D69" s="8" t="s">
        <v>538</v>
      </c>
      <c r="E69" t="s">
        <v>539</v>
      </c>
      <c r="F69" t="s">
        <v>540</v>
      </c>
      <c r="G69" t="s">
        <v>183</v>
      </c>
      <c r="H69" t="s">
        <v>541</v>
      </c>
      <c r="I69" t="s">
        <v>226</v>
      </c>
      <c r="J69" t="s">
        <v>278</v>
      </c>
      <c r="K69" t="s">
        <v>271</v>
      </c>
      <c r="L69" t="s">
        <v>284</v>
      </c>
      <c r="M69" t="s">
        <v>285</v>
      </c>
      <c r="N69" t="s">
        <v>542</v>
      </c>
      <c r="O69" s="4" t="s">
        <v>543</v>
      </c>
      <c r="P69" t="s">
        <v>571</v>
      </c>
      <c r="Q69" t="s">
        <v>569</v>
      </c>
      <c r="R69" s="4"/>
      <c r="S69" t="s">
        <v>571</v>
      </c>
      <c r="T69" t="s">
        <v>382</v>
      </c>
    </row>
    <row r="70" spans="1:20" x14ac:dyDescent="0.35">
      <c r="A70" s="14" t="s">
        <v>544</v>
      </c>
      <c r="B70" t="s">
        <v>545</v>
      </c>
      <c r="C70">
        <v>2023</v>
      </c>
      <c r="D70" s="8" t="s">
        <v>546</v>
      </c>
      <c r="E70" t="s">
        <v>547</v>
      </c>
      <c r="F70" t="s">
        <v>548</v>
      </c>
      <c r="G70" t="s">
        <v>549</v>
      </c>
      <c r="H70" t="s">
        <v>550</v>
      </c>
      <c r="I70" t="s">
        <v>226</v>
      </c>
      <c r="J70" t="s">
        <v>274</v>
      </c>
      <c r="K70" t="s">
        <v>271</v>
      </c>
      <c r="L70" t="s">
        <v>238</v>
      </c>
      <c r="M70" t="s">
        <v>275</v>
      </c>
      <c r="N70" t="s">
        <v>551</v>
      </c>
      <c r="O70" s="4" t="s">
        <v>552</v>
      </c>
      <c r="P70" t="s">
        <v>568</v>
      </c>
      <c r="Q70" t="s">
        <v>569</v>
      </c>
      <c r="R70" s="4"/>
      <c r="S70" t="s">
        <v>572</v>
      </c>
      <c r="T70" t="s">
        <v>382</v>
      </c>
    </row>
    <row r="71" spans="1:20" x14ac:dyDescent="0.35">
      <c r="A71" s="14" t="s">
        <v>544</v>
      </c>
      <c r="B71" t="s">
        <v>545</v>
      </c>
      <c r="C71">
        <v>2025</v>
      </c>
      <c r="D71" s="10" t="s">
        <v>553</v>
      </c>
      <c r="E71" t="s">
        <v>554</v>
      </c>
      <c r="F71" t="s">
        <v>555</v>
      </c>
      <c r="G71" t="s">
        <v>174</v>
      </c>
      <c r="H71" t="s">
        <v>556</v>
      </c>
      <c r="I71" t="s">
        <v>225</v>
      </c>
      <c r="J71" t="s">
        <v>274</v>
      </c>
      <c r="K71" t="s">
        <v>271</v>
      </c>
      <c r="L71" t="s">
        <v>238</v>
      </c>
      <c r="M71" t="s">
        <v>285</v>
      </c>
      <c r="N71" t="s">
        <v>233</v>
      </c>
      <c r="O71" s="4" t="s">
        <v>557</v>
      </c>
      <c r="P71" t="s">
        <v>568</v>
      </c>
      <c r="Q71" t="s">
        <v>569</v>
      </c>
      <c r="R71" s="4"/>
      <c r="S71" t="s">
        <v>572</v>
      </c>
      <c r="T71" t="s">
        <v>382</v>
      </c>
    </row>
    <row r="72" spans="1:20" ht="29" x14ac:dyDescent="0.35">
      <c r="A72" s="14" t="s">
        <v>544</v>
      </c>
      <c r="B72" t="s">
        <v>558</v>
      </c>
      <c r="C72">
        <v>2018</v>
      </c>
      <c r="D72" s="8" t="s">
        <v>559</v>
      </c>
      <c r="E72" t="s">
        <v>560</v>
      </c>
      <c r="F72" t="s">
        <v>561</v>
      </c>
      <c r="G72" t="s">
        <v>174</v>
      </c>
      <c r="H72" t="s">
        <v>562</v>
      </c>
      <c r="I72" t="s">
        <v>227</v>
      </c>
      <c r="J72" t="s">
        <v>278</v>
      </c>
      <c r="K72" t="s">
        <v>283</v>
      </c>
      <c r="L72" t="s">
        <v>238</v>
      </c>
      <c r="M72" t="s">
        <v>275</v>
      </c>
      <c r="N72" t="s">
        <v>563</v>
      </c>
      <c r="O72" s="4" t="s">
        <v>564</v>
      </c>
      <c r="P72" t="s">
        <v>568</v>
      </c>
      <c r="Q72" t="s">
        <v>569</v>
      </c>
      <c r="R72" s="4"/>
      <c r="S72" t="s">
        <v>572</v>
      </c>
      <c r="T72" t="s">
        <v>382</v>
      </c>
    </row>
    <row r="73" spans="1:20" x14ac:dyDescent="0.35">
      <c r="A73" s="14" t="s">
        <v>10</v>
      </c>
      <c r="B73" t="s">
        <v>580</v>
      </c>
      <c r="C73">
        <v>2022</v>
      </c>
      <c r="D73" s="8" t="s">
        <v>581</v>
      </c>
      <c r="E73" t="s">
        <v>582</v>
      </c>
      <c r="F73" t="s">
        <v>829</v>
      </c>
      <c r="G73" t="s">
        <v>583</v>
      </c>
      <c r="I73" t="s">
        <v>226</v>
      </c>
      <c r="J73" t="s">
        <v>276</v>
      </c>
      <c r="K73" t="s">
        <v>271</v>
      </c>
      <c r="L73" t="s">
        <v>238</v>
      </c>
      <c r="M73" t="s">
        <v>275</v>
      </c>
      <c r="N73" t="s">
        <v>229</v>
      </c>
      <c r="O73" t="s">
        <v>909</v>
      </c>
      <c r="P73" t="s">
        <v>571</v>
      </c>
      <c r="Q73" t="s">
        <v>569</v>
      </c>
      <c r="R73" t="s">
        <v>977</v>
      </c>
      <c r="S73" t="s">
        <v>2043</v>
      </c>
      <c r="T73" t="s">
        <v>382</v>
      </c>
    </row>
    <row r="74" spans="1:20" x14ac:dyDescent="0.35">
      <c r="A74" s="14" t="s">
        <v>10</v>
      </c>
      <c r="B74" t="s">
        <v>584</v>
      </c>
      <c r="C74">
        <v>2018</v>
      </c>
      <c r="D74" s="8" t="s">
        <v>585</v>
      </c>
      <c r="E74" t="s">
        <v>586</v>
      </c>
      <c r="F74" t="s">
        <v>830</v>
      </c>
      <c r="G74" t="s">
        <v>583</v>
      </c>
      <c r="I74" t="s">
        <v>227</v>
      </c>
      <c r="J74" t="s">
        <v>276</v>
      </c>
      <c r="K74" t="s">
        <v>271</v>
      </c>
      <c r="L74" t="s">
        <v>238</v>
      </c>
      <c r="M74" t="s">
        <v>272</v>
      </c>
      <c r="N74" t="s">
        <v>235</v>
      </c>
      <c r="O74" t="s">
        <v>910</v>
      </c>
      <c r="P74" t="s">
        <v>571</v>
      </c>
      <c r="Q74" t="s">
        <v>569</v>
      </c>
      <c r="R74" t="s">
        <v>978</v>
      </c>
      <c r="S74" t="s">
        <v>2043</v>
      </c>
      <c r="T74" t="s">
        <v>382</v>
      </c>
    </row>
    <row r="75" spans="1:20" x14ac:dyDescent="0.35">
      <c r="A75" s="14" t="s">
        <v>15</v>
      </c>
      <c r="B75" t="s">
        <v>587</v>
      </c>
      <c r="C75">
        <v>2000</v>
      </c>
      <c r="D75" s="8" t="s">
        <v>588</v>
      </c>
      <c r="E75" t="s">
        <v>589</v>
      </c>
      <c r="F75" t="s">
        <v>831</v>
      </c>
      <c r="G75" t="s">
        <v>174</v>
      </c>
      <c r="I75" t="s">
        <v>226</v>
      </c>
      <c r="J75" t="s">
        <v>273</v>
      </c>
      <c r="K75" t="s">
        <v>271</v>
      </c>
      <c r="L75" t="s">
        <v>238</v>
      </c>
      <c r="M75" t="s">
        <v>272</v>
      </c>
      <c r="N75" t="s">
        <v>468</v>
      </c>
      <c r="O75" t="s">
        <v>911</v>
      </c>
      <c r="P75" t="s">
        <v>568</v>
      </c>
      <c r="Q75" t="s">
        <v>569</v>
      </c>
      <c r="R75" t="s">
        <v>979</v>
      </c>
      <c r="S75" t="s">
        <v>2042</v>
      </c>
      <c r="T75" t="s">
        <v>382</v>
      </c>
    </row>
    <row r="76" spans="1:20" x14ac:dyDescent="0.35">
      <c r="A76" s="14" t="s">
        <v>10</v>
      </c>
      <c r="B76" t="s">
        <v>590</v>
      </c>
      <c r="C76">
        <v>2014</v>
      </c>
      <c r="D76" s="8" t="s">
        <v>591</v>
      </c>
      <c r="E76" t="s">
        <v>592</v>
      </c>
      <c r="F76" t="s">
        <v>832</v>
      </c>
      <c r="G76" t="s">
        <v>174</v>
      </c>
      <c r="I76" t="s">
        <v>226</v>
      </c>
      <c r="J76" t="s">
        <v>276</v>
      </c>
      <c r="K76" t="s">
        <v>271</v>
      </c>
      <c r="L76" t="s">
        <v>238</v>
      </c>
      <c r="M76" t="s">
        <v>272</v>
      </c>
      <c r="N76" t="s">
        <v>240</v>
      </c>
      <c r="O76" t="s">
        <v>912</v>
      </c>
      <c r="P76" t="s">
        <v>571</v>
      </c>
      <c r="Q76" t="s">
        <v>569</v>
      </c>
      <c r="R76" t="s">
        <v>980</v>
      </c>
      <c r="S76" t="s">
        <v>2043</v>
      </c>
      <c r="T76" t="s">
        <v>382</v>
      </c>
    </row>
    <row r="77" spans="1:20" x14ac:dyDescent="0.35">
      <c r="A77" s="14" t="s">
        <v>15</v>
      </c>
      <c r="B77" t="s">
        <v>593</v>
      </c>
      <c r="C77">
        <v>2013</v>
      </c>
      <c r="D77" s="8" t="s">
        <v>594</v>
      </c>
      <c r="E77" t="s">
        <v>595</v>
      </c>
      <c r="F77" t="s">
        <v>833</v>
      </c>
      <c r="G77" t="s">
        <v>583</v>
      </c>
      <c r="I77" t="s">
        <v>227</v>
      </c>
      <c r="J77" t="s">
        <v>273</v>
      </c>
      <c r="K77" t="s">
        <v>271</v>
      </c>
      <c r="L77" t="s">
        <v>238</v>
      </c>
      <c r="M77" t="s">
        <v>272</v>
      </c>
      <c r="N77" t="s">
        <v>231</v>
      </c>
      <c r="O77" t="s">
        <v>913</v>
      </c>
      <c r="P77" t="s">
        <v>568</v>
      </c>
      <c r="Q77" t="s">
        <v>569</v>
      </c>
      <c r="R77" t="s">
        <v>981</v>
      </c>
      <c r="S77" t="s">
        <v>2042</v>
      </c>
      <c r="T77" t="s">
        <v>382</v>
      </c>
    </row>
    <row r="78" spans="1:20" x14ac:dyDescent="0.35">
      <c r="A78" s="14" t="s">
        <v>404</v>
      </c>
      <c r="B78" t="s">
        <v>596</v>
      </c>
      <c r="C78">
        <v>2023</v>
      </c>
      <c r="D78" s="8" t="s">
        <v>597</v>
      </c>
      <c r="E78" t="s">
        <v>598</v>
      </c>
      <c r="F78" t="s">
        <v>834</v>
      </c>
      <c r="G78" t="s">
        <v>174</v>
      </c>
      <c r="I78" t="s">
        <v>226</v>
      </c>
      <c r="J78" t="s">
        <v>278</v>
      </c>
      <c r="K78" t="s">
        <v>271</v>
      </c>
      <c r="L78" t="s">
        <v>284</v>
      </c>
      <c r="M78" t="s">
        <v>285</v>
      </c>
      <c r="N78" t="s">
        <v>542</v>
      </c>
      <c r="O78" t="s">
        <v>914</v>
      </c>
      <c r="P78" t="s">
        <v>571</v>
      </c>
      <c r="Q78" t="s">
        <v>569</v>
      </c>
      <c r="R78" t="s">
        <v>982</v>
      </c>
      <c r="S78" t="s">
        <v>571</v>
      </c>
      <c r="T78" t="s">
        <v>382</v>
      </c>
    </row>
    <row r="79" spans="1:20" x14ac:dyDescent="0.35">
      <c r="A79" s="14" t="s">
        <v>12</v>
      </c>
      <c r="B79" t="s">
        <v>600</v>
      </c>
      <c r="C79">
        <v>2005</v>
      </c>
      <c r="D79" s="8" t="s">
        <v>601</v>
      </c>
      <c r="E79" t="s">
        <v>602</v>
      </c>
      <c r="F79" t="s">
        <v>835</v>
      </c>
      <c r="G79" t="s">
        <v>583</v>
      </c>
      <c r="I79" t="s">
        <v>227</v>
      </c>
      <c r="J79" t="s">
        <v>270</v>
      </c>
      <c r="K79" t="s">
        <v>271</v>
      </c>
      <c r="L79" t="s">
        <v>238</v>
      </c>
      <c r="M79" t="s">
        <v>272</v>
      </c>
      <c r="N79" t="s">
        <v>231</v>
      </c>
      <c r="O79" t="s">
        <v>915</v>
      </c>
      <c r="P79" t="s">
        <v>568</v>
      </c>
      <c r="Q79" t="s">
        <v>569</v>
      </c>
      <c r="R79" t="s">
        <v>983</v>
      </c>
      <c r="S79" t="s">
        <v>568</v>
      </c>
      <c r="T79" t="s">
        <v>382</v>
      </c>
    </row>
    <row r="80" spans="1:20" x14ac:dyDescent="0.35">
      <c r="A80" s="14" t="s">
        <v>10</v>
      </c>
      <c r="B80" t="s">
        <v>603</v>
      </c>
      <c r="C80">
        <v>2015</v>
      </c>
      <c r="D80" s="15" t="s">
        <v>604</v>
      </c>
      <c r="E80" t="s">
        <v>605</v>
      </c>
      <c r="F80" t="s">
        <v>836</v>
      </c>
      <c r="G80" t="s">
        <v>583</v>
      </c>
      <c r="I80" t="s">
        <v>226</v>
      </c>
      <c r="J80" t="s">
        <v>273</v>
      </c>
      <c r="K80" t="s">
        <v>271</v>
      </c>
      <c r="L80" t="s">
        <v>284</v>
      </c>
      <c r="M80" t="s">
        <v>275</v>
      </c>
      <c r="N80" t="s">
        <v>898</v>
      </c>
      <c r="O80" t="s">
        <v>916</v>
      </c>
      <c r="P80" t="s">
        <v>575</v>
      </c>
      <c r="Q80" t="s">
        <v>569</v>
      </c>
      <c r="R80" t="s">
        <v>984</v>
      </c>
      <c r="S80" t="s">
        <v>2043</v>
      </c>
      <c r="T80" t="s">
        <v>382</v>
      </c>
    </row>
    <row r="81" spans="1:20" x14ac:dyDescent="0.35">
      <c r="A81" s="14" t="s">
        <v>286</v>
      </c>
      <c r="B81" t="s">
        <v>606</v>
      </c>
      <c r="C81">
        <v>2014</v>
      </c>
      <c r="D81" s="8" t="s">
        <v>607</v>
      </c>
      <c r="E81" t="s">
        <v>608</v>
      </c>
      <c r="F81" t="s">
        <v>837</v>
      </c>
      <c r="G81" t="s">
        <v>174</v>
      </c>
      <c r="I81" t="s">
        <v>225</v>
      </c>
      <c r="J81" t="s">
        <v>282</v>
      </c>
      <c r="K81" t="s">
        <v>283</v>
      </c>
      <c r="L81" t="s">
        <v>284</v>
      </c>
      <c r="M81" t="s">
        <v>285</v>
      </c>
      <c r="N81" t="s">
        <v>899</v>
      </c>
      <c r="O81" t="s">
        <v>917</v>
      </c>
      <c r="P81" t="s">
        <v>573</v>
      </c>
      <c r="Q81" t="s">
        <v>569</v>
      </c>
      <c r="R81" t="s">
        <v>985</v>
      </c>
      <c r="S81" t="s">
        <v>573</v>
      </c>
      <c r="T81" t="s">
        <v>382</v>
      </c>
    </row>
    <row r="82" spans="1:20" x14ac:dyDescent="0.35">
      <c r="A82" s="14" t="s">
        <v>286</v>
      </c>
      <c r="B82" t="s">
        <v>609</v>
      </c>
      <c r="C82">
        <v>2011</v>
      </c>
      <c r="D82" s="8" t="s">
        <v>610</v>
      </c>
      <c r="E82" t="s">
        <v>611</v>
      </c>
      <c r="F82" t="s">
        <v>838</v>
      </c>
      <c r="G82" t="s">
        <v>174</v>
      </c>
      <c r="I82" t="s">
        <v>225</v>
      </c>
      <c r="J82" t="s">
        <v>282</v>
      </c>
      <c r="K82" t="s">
        <v>283</v>
      </c>
      <c r="L82" t="s">
        <v>284</v>
      </c>
      <c r="M82" t="s">
        <v>285</v>
      </c>
      <c r="N82" t="s">
        <v>482</v>
      </c>
      <c r="O82" t="s">
        <v>918</v>
      </c>
      <c r="P82" t="s">
        <v>573</v>
      </c>
      <c r="Q82" t="s">
        <v>569</v>
      </c>
      <c r="R82" t="s">
        <v>986</v>
      </c>
      <c r="S82" t="s">
        <v>573</v>
      </c>
      <c r="T82" t="s">
        <v>382</v>
      </c>
    </row>
    <row r="83" spans="1:20" x14ac:dyDescent="0.35">
      <c r="A83" s="14" t="s">
        <v>286</v>
      </c>
      <c r="B83" t="s">
        <v>293</v>
      </c>
      <c r="C83">
        <v>2009</v>
      </c>
      <c r="D83" s="8" t="s">
        <v>612</v>
      </c>
      <c r="E83" t="s">
        <v>613</v>
      </c>
      <c r="F83" t="s">
        <v>839</v>
      </c>
      <c r="G83" t="s">
        <v>174</v>
      </c>
      <c r="I83" t="s">
        <v>225</v>
      </c>
      <c r="J83" t="s">
        <v>282</v>
      </c>
      <c r="K83" t="s">
        <v>283</v>
      </c>
      <c r="L83" t="s">
        <v>284</v>
      </c>
      <c r="M83" t="s">
        <v>285</v>
      </c>
      <c r="N83" t="s">
        <v>482</v>
      </c>
      <c r="O83" t="s">
        <v>919</v>
      </c>
      <c r="P83" t="s">
        <v>573</v>
      </c>
      <c r="Q83" t="s">
        <v>569</v>
      </c>
      <c r="R83" t="s">
        <v>987</v>
      </c>
      <c r="S83" t="s">
        <v>573</v>
      </c>
      <c r="T83" t="s">
        <v>382</v>
      </c>
    </row>
    <row r="84" spans="1:20" x14ac:dyDescent="0.35">
      <c r="A84" s="14" t="s">
        <v>286</v>
      </c>
      <c r="B84" t="s">
        <v>614</v>
      </c>
      <c r="C84">
        <v>2011</v>
      </c>
      <c r="D84" s="8" t="s">
        <v>615</v>
      </c>
      <c r="E84" t="s">
        <v>616</v>
      </c>
      <c r="F84" t="s">
        <v>840</v>
      </c>
      <c r="G84" t="s">
        <v>174</v>
      </c>
      <c r="I84" t="s">
        <v>226</v>
      </c>
      <c r="J84" t="s">
        <v>282</v>
      </c>
      <c r="K84" t="s">
        <v>283</v>
      </c>
      <c r="L84" t="s">
        <v>284</v>
      </c>
      <c r="M84" t="s">
        <v>275</v>
      </c>
      <c r="N84" t="s">
        <v>900</v>
      </c>
      <c r="O84" t="s">
        <v>920</v>
      </c>
      <c r="P84" t="s">
        <v>573</v>
      </c>
      <c r="Q84" t="s">
        <v>569</v>
      </c>
      <c r="R84" t="s">
        <v>988</v>
      </c>
      <c r="S84" t="s">
        <v>573</v>
      </c>
      <c r="T84" t="s">
        <v>382</v>
      </c>
    </row>
    <row r="85" spans="1:20" x14ac:dyDescent="0.35">
      <c r="A85" s="14" t="s">
        <v>286</v>
      </c>
      <c r="B85" t="s">
        <v>617</v>
      </c>
      <c r="C85">
        <v>2013</v>
      </c>
      <c r="D85" s="15" t="s">
        <v>618</v>
      </c>
      <c r="E85" t="s">
        <v>619</v>
      </c>
      <c r="F85" t="s">
        <v>841</v>
      </c>
      <c r="G85" t="s">
        <v>583</v>
      </c>
      <c r="I85" t="s">
        <v>226</v>
      </c>
      <c r="J85" t="s">
        <v>282</v>
      </c>
      <c r="K85" t="s">
        <v>283</v>
      </c>
      <c r="L85" t="s">
        <v>284</v>
      </c>
      <c r="M85" t="s">
        <v>275</v>
      </c>
      <c r="N85" t="s">
        <v>240</v>
      </c>
      <c r="O85" t="s">
        <v>921</v>
      </c>
      <c r="P85" t="s">
        <v>573</v>
      </c>
      <c r="Q85" t="s">
        <v>569</v>
      </c>
      <c r="R85" t="s">
        <v>989</v>
      </c>
      <c r="S85" t="s">
        <v>573</v>
      </c>
      <c r="T85" t="s">
        <v>382</v>
      </c>
    </row>
    <row r="86" spans="1:20" x14ac:dyDescent="0.35">
      <c r="A86" s="14" t="s">
        <v>286</v>
      </c>
      <c r="B86" t="s">
        <v>620</v>
      </c>
      <c r="C86">
        <v>2017</v>
      </c>
      <c r="D86" s="8" t="s">
        <v>621</v>
      </c>
      <c r="E86" t="s">
        <v>622</v>
      </c>
      <c r="F86" t="s">
        <v>842</v>
      </c>
      <c r="G86" t="s">
        <v>583</v>
      </c>
      <c r="I86" t="s">
        <v>226</v>
      </c>
      <c r="J86" t="s">
        <v>282</v>
      </c>
      <c r="K86" t="s">
        <v>283</v>
      </c>
      <c r="L86" t="s">
        <v>284</v>
      </c>
      <c r="M86" t="s">
        <v>275</v>
      </c>
      <c r="N86" t="s">
        <v>482</v>
      </c>
      <c r="O86" t="s">
        <v>922</v>
      </c>
      <c r="P86" t="s">
        <v>573</v>
      </c>
      <c r="Q86" t="s">
        <v>569</v>
      </c>
      <c r="R86" t="s">
        <v>990</v>
      </c>
      <c r="S86" t="s">
        <v>573</v>
      </c>
      <c r="T86" t="s">
        <v>382</v>
      </c>
    </row>
    <row r="87" spans="1:20" x14ac:dyDescent="0.35">
      <c r="A87" s="14" t="s">
        <v>286</v>
      </c>
      <c r="B87" t="s">
        <v>623</v>
      </c>
      <c r="C87">
        <v>2014</v>
      </c>
      <c r="D87" s="8" t="s">
        <v>624</v>
      </c>
      <c r="E87" t="s">
        <v>625</v>
      </c>
      <c r="F87" t="s">
        <v>843</v>
      </c>
      <c r="G87" t="s">
        <v>174</v>
      </c>
      <c r="I87" t="s">
        <v>226</v>
      </c>
      <c r="J87" t="s">
        <v>282</v>
      </c>
      <c r="K87" t="s">
        <v>283</v>
      </c>
      <c r="L87" t="s">
        <v>284</v>
      </c>
      <c r="M87" t="s">
        <v>285</v>
      </c>
      <c r="N87" t="s">
        <v>240</v>
      </c>
      <c r="O87" t="s">
        <v>923</v>
      </c>
      <c r="P87" t="s">
        <v>575</v>
      </c>
      <c r="Q87" t="s">
        <v>569</v>
      </c>
      <c r="R87" t="s">
        <v>991</v>
      </c>
      <c r="S87" t="s">
        <v>573</v>
      </c>
      <c r="T87" t="s">
        <v>382</v>
      </c>
    </row>
    <row r="88" spans="1:20" x14ac:dyDescent="0.35">
      <c r="A88" s="14" t="s">
        <v>286</v>
      </c>
      <c r="B88" t="s">
        <v>626</v>
      </c>
      <c r="C88">
        <v>2009</v>
      </c>
      <c r="D88" s="8" t="s">
        <v>627</v>
      </c>
      <c r="E88" t="s">
        <v>628</v>
      </c>
      <c r="F88" t="s">
        <v>844</v>
      </c>
      <c r="G88" t="s">
        <v>583</v>
      </c>
      <c r="I88" t="s">
        <v>226</v>
      </c>
      <c r="J88" t="s">
        <v>282</v>
      </c>
      <c r="K88" t="s">
        <v>283</v>
      </c>
      <c r="L88" t="s">
        <v>284</v>
      </c>
      <c r="M88" t="s">
        <v>275</v>
      </c>
      <c r="N88" t="s">
        <v>901</v>
      </c>
      <c r="O88" t="s">
        <v>924</v>
      </c>
      <c r="P88" t="s">
        <v>573</v>
      </c>
      <c r="Q88" t="s">
        <v>569</v>
      </c>
      <c r="R88" t="s">
        <v>992</v>
      </c>
      <c r="S88" t="s">
        <v>573</v>
      </c>
      <c r="T88" t="s">
        <v>382</v>
      </c>
    </row>
    <row r="89" spans="1:20" x14ac:dyDescent="0.35">
      <c r="A89" s="14" t="s">
        <v>286</v>
      </c>
      <c r="B89" t="s">
        <v>629</v>
      </c>
      <c r="C89">
        <v>2016</v>
      </c>
      <c r="D89" s="8" t="s">
        <v>630</v>
      </c>
      <c r="E89" t="s">
        <v>631</v>
      </c>
      <c r="F89" t="s">
        <v>845</v>
      </c>
      <c r="G89" t="s">
        <v>583</v>
      </c>
      <c r="I89" t="s">
        <v>226</v>
      </c>
      <c r="J89" t="s">
        <v>282</v>
      </c>
      <c r="K89" t="s">
        <v>283</v>
      </c>
      <c r="L89" t="s">
        <v>238</v>
      </c>
      <c r="M89" t="s">
        <v>275</v>
      </c>
      <c r="N89" t="s">
        <v>902</v>
      </c>
      <c r="O89" t="s">
        <v>925</v>
      </c>
      <c r="P89" t="s">
        <v>573</v>
      </c>
      <c r="Q89" t="s">
        <v>569</v>
      </c>
      <c r="R89" t="s">
        <v>993</v>
      </c>
      <c r="S89" t="s">
        <v>573</v>
      </c>
      <c r="T89" t="s">
        <v>382</v>
      </c>
    </row>
    <row r="90" spans="1:20" x14ac:dyDescent="0.35">
      <c r="A90" s="14" t="s">
        <v>286</v>
      </c>
      <c r="B90" t="s">
        <v>632</v>
      </c>
      <c r="C90">
        <v>2006</v>
      </c>
      <c r="D90" s="8" t="s">
        <v>633</v>
      </c>
      <c r="E90" t="s">
        <v>634</v>
      </c>
      <c r="F90" t="s">
        <v>846</v>
      </c>
      <c r="G90" t="s">
        <v>583</v>
      </c>
      <c r="I90" t="s">
        <v>226</v>
      </c>
      <c r="J90" t="s">
        <v>282</v>
      </c>
      <c r="K90" t="s">
        <v>283</v>
      </c>
      <c r="L90" t="s">
        <v>284</v>
      </c>
      <c r="M90" t="s">
        <v>275</v>
      </c>
      <c r="N90" t="s">
        <v>240</v>
      </c>
      <c r="O90" t="s">
        <v>926</v>
      </c>
      <c r="P90" t="s">
        <v>573</v>
      </c>
      <c r="Q90" t="s">
        <v>569</v>
      </c>
      <c r="R90" t="s">
        <v>994</v>
      </c>
      <c r="S90" t="s">
        <v>573</v>
      </c>
      <c r="T90" t="s">
        <v>382</v>
      </c>
    </row>
    <row r="91" spans="1:20" x14ac:dyDescent="0.35">
      <c r="A91" s="14" t="s">
        <v>286</v>
      </c>
      <c r="B91" t="s">
        <v>635</v>
      </c>
      <c r="C91">
        <v>2019</v>
      </c>
      <c r="D91" s="8" t="s">
        <v>636</v>
      </c>
      <c r="E91" t="s">
        <v>637</v>
      </c>
      <c r="F91" t="s">
        <v>847</v>
      </c>
      <c r="G91" t="s">
        <v>174</v>
      </c>
      <c r="I91" t="s">
        <v>226</v>
      </c>
      <c r="J91" t="s">
        <v>282</v>
      </c>
      <c r="K91" t="s">
        <v>283</v>
      </c>
      <c r="L91" t="s">
        <v>284</v>
      </c>
      <c r="M91" t="s">
        <v>275</v>
      </c>
      <c r="N91" t="s">
        <v>899</v>
      </c>
      <c r="O91" t="s">
        <v>927</v>
      </c>
      <c r="P91" t="s">
        <v>573</v>
      </c>
      <c r="Q91" t="s">
        <v>569</v>
      </c>
      <c r="R91" t="s">
        <v>995</v>
      </c>
      <c r="S91" t="s">
        <v>573</v>
      </c>
      <c r="T91" t="s">
        <v>382</v>
      </c>
    </row>
    <row r="92" spans="1:20" x14ac:dyDescent="0.35">
      <c r="A92" s="14" t="s">
        <v>332</v>
      </c>
      <c r="B92" t="s">
        <v>638</v>
      </c>
      <c r="C92">
        <v>2011</v>
      </c>
      <c r="D92" s="8" t="s">
        <v>639</v>
      </c>
      <c r="E92" t="s">
        <v>640</v>
      </c>
      <c r="F92" t="s">
        <v>848</v>
      </c>
      <c r="G92" t="s">
        <v>174</v>
      </c>
      <c r="I92" t="s">
        <v>226</v>
      </c>
      <c r="J92" t="s">
        <v>282</v>
      </c>
      <c r="K92" t="s">
        <v>283</v>
      </c>
      <c r="L92" t="s">
        <v>284</v>
      </c>
      <c r="M92" t="s">
        <v>285</v>
      </c>
      <c r="N92" t="s">
        <v>240</v>
      </c>
      <c r="O92" t="s">
        <v>928</v>
      </c>
      <c r="P92" t="s">
        <v>573</v>
      </c>
      <c r="Q92" t="s">
        <v>569</v>
      </c>
      <c r="R92" t="s">
        <v>996</v>
      </c>
      <c r="S92" t="s">
        <v>573</v>
      </c>
      <c r="T92" t="s">
        <v>382</v>
      </c>
    </row>
    <row r="93" spans="1:20" x14ac:dyDescent="0.35">
      <c r="A93" s="14" t="s">
        <v>286</v>
      </c>
      <c r="B93" t="s">
        <v>641</v>
      </c>
      <c r="C93">
        <v>2003</v>
      </c>
      <c r="D93" s="8" t="s">
        <v>642</v>
      </c>
      <c r="E93" t="s">
        <v>643</v>
      </c>
      <c r="F93" t="s">
        <v>849</v>
      </c>
      <c r="G93" t="s">
        <v>583</v>
      </c>
      <c r="I93" t="s">
        <v>227</v>
      </c>
      <c r="J93" t="s">
        <v>282</v>
      </c>
      <c r="K93" t="s">
        <v>283</v>
      </c>
      <c r="L93" t="s">
        <v>238</v>
      </c>
      <c r="M93" t="s">
        <v>272</v>
      </c>
      <c r="N93" t="s">
        <v>240</v>
      </c>
      <c r="O93" t="s">
        <v>929</v>
      </c>
      <c r="P93" t="s">
        <v>573</v>
      </c>
      <c r="Q93" t="s">
        <v>569</v>
      </c>
      <c r="R93" t="s">
        <v>997</v>
      </c>
      <c r="S93" t="s">
        <v>573</v>
      </c>
      <c r="T93" t="s">
        <v>382</v>
      </c>
    </row>
    <row r="94" spans="1:20" x14ac:dyDescent="0.35">
      <c r="A94" s="14" t="s">
        <v>404</v>
      </c>
      <c r="B94" t="s">
        <v>644</v>
      </c>
      <c r="C94">
        <v>2023</v>
      </c>
      <c r="D94" s="8" t="s">
        <v>645</v>
      </c>
      <c r="E94" t="s">
        <v>646</v>
      </c>
      <c r="F94" t="s">
        <v>850</v>
      </c>
      <c r="G94" t="s">
        <v>174</v>
      </c>
      <c r="I94" t="s">
        <v>226</v>
      </c>
      <c r="J94" t="s">
        <v>276</v>
      </c>
      <c r="K94" t="s">
        <v>271</v>
      </c>
      <c r="L94" t="s">
        <v>284</v>
      </c>
      <c r="M94" t="s">
        <v>275</v>
      </c>
      <c r="N94" t="s">
        <v>235</v>
      </c>
      <c r="O94" t="s">
        <v>930</v>
      </c>
      <c r="P94" t="s">
        <v>571</v>
      </c>
      <c r="Q94" t="s">
        <v>569</v>
      </c>
      <c r="R94" t="s">
        <v>998</v>
      </c>
      <c r="S94" t="s">
        <v>571</v>
      </c>
      <c r="T94" t="s">
        <v>382</v>
      </c>
    </row>
    <row r="95" spans="1:20" x14ac:dyDescent="0.35">
      <c r="A95" s="14" t="s">
        <v>286</v>
      </c>
      <c r="B95" t="s">
        <v>647</v>
      </c>
      <c r="C95">
        <v>2015</v>
      </c>
      <c r="D95" s="8" t="s">
        <v>648</v>
      </c>
      <c r="E95" t="s">
        <v>649</v>
      </c>
      <c r="F95" t="s">
        <v>851</v>
      </c>
      <c r="G95" t="s">
        <v>583</v>
      </c>
      <c r="I95" t="s">
        <v>226</v>
      </c>
      <c r="J95" t="s">
        <v>282</v>
      </c>
      <c r="K95" t="s">
        <v>283</v>
      </c>
      <c r="L95" t="s">
        <v>238</v>
      </c>
      <c r="M95" t="s">
        <v>275</v>
      </c>
      <c r="N95" t="s">
        <v>903</v>
      </c>
      <c r="O95" t="s">
        <v>931</v>
      </c>
      <c r="P95" t="s">
        <v>573</v>
      </c>
      <c r="Q95" t="s">
        <v>569</v>
      </c>
      <c r="R95" t="s">
        <v>999</v>
      </c>
      <c r="S95" t="s">
        <v>573</v>
      </c>
      <c r="T95" t="s">
        <v>382</v>
      </c>
    </row>
    <row r="96" spans="1:20" x14ac:dyDescent="0.35">
      <c r="A96" s="14" t="s">
        <v>286</v>
      </c>
      <c r="B96" t="s">
        <v>650</v>
      </c>
      <c r="C96">
        <v>2003</v>
      </c>
      <c r="D96" s="8" t="s">
        <v>651</v>
      </c>
      <c r="E96" t="s">
        <v>652</v>
      </c>
      <c r="F96" t="s">
        <v>852</v>
      </c>
      <c r="G96" t="s">
        <v>583</v>
      </c>
      <c r="I96" t="s">
        <v>227</v>
      </c>
      <c r="J96" t="s">
        <v>282</v>
      </c>
      <c r="K96" t="s">
        <v>283</v>
      </c>
      <c r="L96" t="s">
        <v>238</v>
      </c>
      <c r="M96" t="s">
        <v>272</v>
      </c>
      <c r="N96" t="s">
        <v>240</v>
      </c>
      <c r="O96" t="s">
        <v>932</v>
      </c>
      <c r="P96" t="s">
        <v>573</v>
      </c>
      <c r="Q96" t="s">
        <v>569</v>
      </c>
      <c r="R96" t="s">
        <v>1000</v>
      </c>
      <c r="S96" t="s">
        <v>573</v>
      </c>
      <c r="T96" t="s">
        <v>382</v>
      </c>
    </row>
    <row r="97" spans="1:20" x14ac:dyDescent="0.35">
      <c r="A97" s="14" t="s">
        <v>286</v>
      </c>
      <c r="B97" t="s">
        <v>653</v>
      </c>
      <c r="C97">
        <v>2000</v>
      </c>
      <c r="D97" s="8" t="s">
        <v>654</v>
      </c>
      <c r="E97" t="s">
        <v>655</v>
      </c>
      <c r="F97" t="s">
        <v>853</v>
      </c>
      <c r="G97" t="s">
        <v>174</v>
      </c>
      <c r="I97" t="s">
        <v>227</v>
      </c>
      <c r="J97" t="s">
        <v>282</v>
      </c>
      <c r="K97" t="s">
        <v>283</v>
      </c>
      <c r="L97" t="s">
        <v>238</v>
      </c>
      <c r="M97" t="s">
        <v>272</v>
      </c>
      <c r="N97" t="s">
        <v>240</v>
      </c>
      <c r="O97" t="s">
        <v>933</v>
      </c>
      <c r="P97" t="s">
        <v>573</v>
      </c>
      <c r="Q97" t="s">
        <v>569</v>
      </c>
      <c r="R97" t="s">
        <v>1001</v>
      </c>
      <c r="S97" t="s">
        <v>573</v>
      </c>
      <c r="T97" t="s">
        <v>382</v>
      </c>
    </row>
    <row r="98" spans="1:20" x14ac:dyDescent="0.35">
      <c r="A98" s="14" t="s">
        <v>286</v>
      </c>
      <c r="B98" t="s">
        <v>656</v>
      </c>
      <c r="C98">
        <v>2009</v>
      </c>
      <c r="D98" s="8" t="s">
        <v>657</v>
      </c>
      <c r="E98" t="s">
        <v>628</v>
      </c>
      <c r="F98" t="s">
        <v>854</v>
      </c>
      <c r="G98" t="s">
        <v>583</v>
      </c>
      <c r="I98" t="s">
        <v>227</v>
      </c>
      <c r="J98" t="s">
        <v>282</v>
      </c>
      <c r="K98" t="s">
        <v>283</v>
      </c>
      <c r="L98" t="s">
        <v>284</v>
      </c>
      <c r="M98" t="s">
        <v>275</v>
      </c>
      <c r="N98" t="s">
        <v>900</v>
      </c>
      <c r="O98" t="s">
        <v>934</v>
      </c>
      <c r="P98" t="s">
        <v>573</v>
      </c>
      <c r="Q98" t="s">
        <v>569</v>
      </c>
      <c r="R98" t="s">
        <v>1002</v>
      </c>
      <c r="S98" t="s">
        <v>573</v>
      </c>
      <c r="T98" t="s">
        <v>382</v>
      </c>
    </row>
    <row r="99" spans="1:20" x14ac:dyDescent="0.35">
      <c r="A99" s="14" t="s">
        <v>332</v>
      </c>
      <c r="B99" t="s">
        <v>658</v>
      </c>
      <c r="C99">
        <v>2021</v>
      </c>
      <c r="D99" s="8" t="s">
        <v>659</v>
      </c>
      <c r="E99" t="s">
        <v>660</v>
      </c>
      <c r="F99" t="s">
        <v>855</v>
      </c>
      <c r="G99" t="s">
        <v>174</v>
      </c>
      <c r="I99" t="s">
        <v>226</v>
      </c>
      <c r="J99" t="s">
        <v>276</v>
      </c>
      <c r="K99" t="s">
        <v>283</v>
      </c>
      <c r="L99" t="s">
        <v>284</v>
      </c>
      <c r="M99" t="s">
        <v>285</v>
      </c>
      <c r="N99" t="s">
        <v>233</v>
      </c>
      <c r="O99" t="s">
        <v>935</v>
      </c>
      <c r="P99" t="s">
        <v>571</v>
      </c>
      <c r="Q99" t="s">
        <v>569</v>
      </c>
      <c r="R99" t="s">
        <v>1003</v>
      </c>
      <c r="S99" t="s">
        <v>573</v>
      </c>
      <c r="T99" t="s">
        <v>382</v>
      </c>
    </row>
    <row r="100" spans="1:20" x14ac:dyDescent="0.35">
      <c r="A100" s="14" t="s">
        <v>404</v>
      </c>
      <c r="B100" t="s">
        <v>661</v>
      </c>
      <c r="C100">
        <v>2024</v>
      </c>
      <c r="D100" s="8" t="s">
        <v>662</v>
      </c>
      <c r="E100" t="s">
        <v>663</v>
      </c>
      <c r="F100" t="s">
        <v>856</v>
      </c>
      <c r="G100" t="s">
        <v>583</v>
      </c>
      <c r="I100" t="s">
        <v>226</v>
      </c>
      <c r="J100" t="s">
        <v>276</v>
      </c>
      <c r="K100" t="s">
        <v>283</v>
      </c>
      <c r="L100" t="s">
        <v>284</v>
      </c>
      <c r="M100" t="s">
        <v>275</v>
      </c>
      <c r="N100" t="s">
        <v>235</v>
      </c>
      <c r="O100" t="s">
        <v>936</v>
      </c>
      <c r="P100" t="s">
        <v>571</v>
      </c>
      <c r="Q100" t="s">
        <v>569</v>
      </c>
      <c r="R100" t="s">
        <v>1004</v>
      </c>
      <c r="S100" t="s">
        <v>571</v>
      </c>
      <c r="T100" t="s">
        <v>382</v>
      </c>
    </row>
    <row r="101" spans="1:20" x14ac:dyDescent="0.35">
      <c r="A101" s="14" t="s">
        <v>286</v>
      </c>
      <c r="B101" t="s">
        <v>664</v>
      </c>
      <c r="C101">
        <v>2008</v>
      </c>
      <c r="D101" s="8" t="s">
        <v>665</v>
      </c>
      <c r="E101" t="s">
        <v>666</v>
      </c>
      <c r="F101" t="s">
        <v>857</v>
      </c>
      <c r="G101" t="s">
        <v>583</v>
      </c>
      <c r="I101" t="s">
        <v>227</v>
      </c>
      <c r="J101" t="s">
        <v>282</v>
      </c>
      <c r="K101" t="s">
        <v>283</v>
      </c>
      <c r="L101" t="s">
        <v>238</v>
      </c>
      <c r="M101" t="s">
        <v>272</v>
      </c>
      <c r="N101" t="s">
        <v>240</v>
      </c>
      <c r="O101" t="s">
        <v>937</v>
      </c>
      <c r="P101" t="s">
        <v>573</v>
      </c>
      <c r="Q101" t="s">
        <v>569</v>
      </c>
      <c r="R101" t="s">
        <v>1005</v>
      </c>
      <c r="S101" t="s">
        <v>573</v>
      </c>
      <c r="T101" t="s">
        <v>382</v>
      </c>
    </row>
    <row r="102" spans="1:20" x14ac:dyDescent="0.35">
      <c r="A102" s="14" t="s">
        <v>332</v>
      </c>
      <c r="B102" t="s">
        <v>667</v>
      </c>
      <c r="C102">
        <v>2011</v>
      </c>
      <c r="D102" s="8" t="s">
        <v>668</v>
      </c>
      <c r="E102" t="s">
        <v>669</v>
      </c>
      <c r="F102" t="s">
        <v>858</v>
      </c>
      <c r="G102" t="s">
        <v>174</v>
      </c>
      <c r="I102" t="s">
        <v>226</v>
      </c>
      <c r="J102" t="s">
        <v>282</v>
      </c>
      <c r="K102" t="s">
        <v>283</v>
      </c>
      <c r="L102" t="s">
        <v>284</v>
      </c>
      <c r="M102" t="s">
        <v>285</v>
      </c>
      <c r="N102" t="s">
        <v>904</v>
      </c>
      <c r="O102" t="s">
        <v>938</v>
      </c>
      <c r="P102" t="s">
        <v>573</v>
      </c>
      <c r="Q102" t="s">
        <v>569</v>
      </c>
      <c r="R102" t="s">
        <v>1006</v>
      </c>
      <c r="S102" t="s">
        <v>573</v>
      </c>
      <c r="T102" t="s">
        <v>382</v>
      </c>
    </row>
    <row r="103" spans="1:20" x14ac:dyDescent="0.35">
      <c r="A103" s="14" t="s">
        <v>404</v>
      </c>
      <c r="B103" t="s">
        <v>670</v>
      </c>
      <c r="C103">
        <v>2020</v>
      </c>
      <c r="D103" s="8" t="s">
        <v>671</v>
      </c>
      <c r="E103" t="s">
        <v>106</v>
      </c>
      <c r="F103" t="s">
        <v>859</v>
      </c>
      <c r="G103" t="s">
        <v>174</v>
      </c>
      <c r="I103" t="s">
        <v>226</v>
      </c>
      <c r="J103" t="s">
        <v>276</v>
      </c>
      <c r="K103" t="s">
        <v>271</v>
      </c>
      <c r="L103" t="s">
        <v>284</v>
      </c>
      <c r="M103" t="s">
        <v>285</v>
      </c>
      <c r="N103" t="s">
        <v>255</v>
      </c>
      <c r="O103" t="s">
        <v>939</v>
      </c>
      <c r="P103" t="s">
        <v>571</v>
      </c>
      <c r="Q103" t="s">
        <v>569</v>
      </c>
      <c r="R103" t="s">
        <v>1007</v>
      </c>
      <c r="S103" t="s">
        <v>571</v>
      </c>
      <c r="T103" t="s">
        <v>382</v>
      </c>
    </row>
    <row r="104" spans="1:20" x14ac:dyDescent="0.35">
      <c r="A104" s="14" t="s">
        <v>19</v>
      </c>
      <c r="B104" t="s">
        <v>672</v>
      </c>
      <c r="C104">
        <v>2017</v>
      </c>
      <c r="D104" s="15" t="s">
        <v>673</v>
      </c>
      <c r="E104" t="s">
        <v>674</v>
      </c>
      <c r="F104" t="s">
        <v>860</v>
      </c>
      <c r="G104" t="s">
        <v>174</v>
      </c>
      <c r="I104" t="s">
        <v>226</v>
      </c>
      <c r="J104" t="s">
        <v>282</v>
      </c>
      <c r="K104" t="s">
        <v>280</v>
      </c>
      <c r="L104" t="s">
        <v>238</v>
      </c>
      <c r="M104" t="s">
        <v>275</v>
      </c>
      <c r="N104" t="s">
        <v>490</v>
      </c>
      <c r="O104" t="s">
        <v>940</v>
      </c>
      <c r="P104" t="s">
        <v>573</v>
      </c>
      <c r="Q104" t="s">
        <v>569</v>
      </c>
      <c r="R104" t="s">
        <v>673</v>
      </c>
      <c r="S104" t="s">
        <v>568</v>
      </c>
      <c r="T104" t="s">
        <v>2044</v>
      </c>
    </row>
    <row r="105" spans="1:20" x14ac:dyDescent="0.35">
      <c r="A105" s="14" t="s">
        <v>19</v>
      </c>
      <c r="B105" t="s">
        <v>675</v>
      </c>
      <c r="C105">
        <v>2020</v>
      </c>
      <c r="D105" s="8" t="s">
        <v>676</v>
      </c>
      <c r="E105" t="s">
        <v>677</v>
      </c>
      <c r="F105" t="s">
        <v>861</v>
      </c>
      <c r="G105" t="s">
        <v>583</v>
      </c>
      <c r="I105" t="s">
        <v>226</v>
      </c>
      <c r="J105" t="s">
        <v>282</v>
      </c>
      <c r="K105" t="s">
        <v>280</v>
      </c>
      <c r="L105" t="s">
        <v>238</v>
      </c>
      <c r="M105" t="s">
        <v>275</v>
      </c>
      <c r="N105" t="s">
        <v>233</v>
      </c>
      <c r="O105" t="s">
        <v>941</v>
      </c>
      <c r="P105" t="s">
        <v>573</v>
      </c>
      <c r="Q105" t="s">
        <v>569</v>
      </c>
      <c r="R105" t="s">
        <v>1008</v>
      </c>
      <c r="S105" t="s">
        <v>568</v>
      </c>
      <c r="T105" t="s">
        <v>2044</v>
      </c>
    </row>
    <row r="106" spans="1:20" x14ac:dyDescent="0.35">
      <c r="A106" s="14" t="s">
        <v>19</v>
      </c>
      <c r="B106" t="s">
        <v>678</v>
      </c>
      <c r="C106">
        <v>1998</v>
      </c>
      <c r="D106" s="8" t="s">
        <v>679</v>
      </c>
      <c r="E106" t="s">
        <v>680</v>
      </c>
      <c r="F106" t="s">
        <v>862</v>
      </c>
      <c r="G106" t="s">
        <v>583</v>
      </c>
      <c r="I106" t="s">
        <v>225</v>
      </c>
      <c r="J106" t="s">
        <v>270</v>
      </c>
      <c r="K106" t="s">
        <v>280</v>
      </c>
      <c r="L106" t="s">
        <v>284</v>
      </c>
      <c r="M106" t="s">
        <v>275</v>
      </c>
      <c r="N106" t="s">
        <v>468</v>
      </c>
      <c r="O106" t="s">
        <v>942</v>
      </c>
      <c r="P106" t="s">
        <v>573</v>
      </c>
      <c r="Q106" t="s">
        <v>569</v>
      </c>
      <c r="R106" t="s">
        <v>1009</v>
      </c>
      <c r="S106" t="s">
        <v>568</v>
      </c>
      <c r="T106" t="s">
        <v>2044</v>
      </c>
    </row>
    <row r="107" spans="1:20" x14ac:dyDescent="0.35">
      <c r="A107" s="14" t="s">
        <v>578</v>
      </c>
      <c r="B107" t="s">
        <v>681</v>
      </c>
      <c r="C107">
        <v>2018</v>
      </c>
      <c r="D107" s="8" t="s">
        <v>682</v>
      </c>
      <c r="E107" t="s">
        <v>683</v>
      </c>
      <c r="F107" t="s">
        <v>863</v>
      </c>
      <c r="G107" t="s">
        <v>174</v>
      </c>
      <c r="I107" t="s">
        <v>226</v>
      </c>
      <c r="J107" t="s">
        <v>276</v>
      </c>
      <c r="K107" t="s">
        <v>280</v>
      </c>
      <c r="L107" t="s">
        <v>238</v>
      </c>
      <c r="M107" t="s">
        <v>275</v>
      </c>
      <c r="N107" t="s">
        <v>235</v>
      </c>
      <c r="O107" t="s">
        <v>943</v>
      </c>
      <c r="P107" t="s">
        <v>579</v>
      </c>
      <c r="Q107" t="s">
        <v>569</v>
      </c>
      <c r="R107" t="s">
        <v>1010</v>
      </c>
      <c r="S107" t="s">
        <v>571</v>
      </c>
      <c r="T107" t="s">
        <v>382</v>
      </c>
    </row>
    <row r="108" spans="1:20" x14ac:dyDescent="0.35">
      <c r="A108" s="14" t="s">
        <v>286</v>
      </c>
      <c r="B108" t="s">
        <v>692</v>
      </c>
      <c r="C108">
        <v>2013</v>
      </c>
      <c r="D108" s="8" t="s">
        <v>693</v>
      </c>
      <c r="E108" t="s">
        <v>319</v>
      </c>
      <c r="F108" t="s">
        <v>864</v>
      </c>
      <c r="G108" t="s">
        <v>694</v>
      </c>
      <c r="H108" t="s">
        <v>695</v>
      </c>
      <c r="I108" t="s">
        <v>226</v>
      </c>
      <c r="J108" t="s">
        <v>282</v>
      </c>
      <c r="K108" t="s">
        <v>283</v>
      </c>
      <c r="L108" t="s">
        <v>284</v>
      </c>
      <c r="M108" t="s">
        <v>275</v>
      </c>
      <c r="N108" t="s">
        <v>240</v>
      </c>
      <c r="O108" t="s">
        <v>944</v>
      </c>
      <c r="P108" t="s">
        <v>573</v>
      </c>
      <c r="Q108" t="s">
        <v>569</v>
      </c>
      <c r="R108" t="s">
        <v>1011</v>
      </c>
      <c r="S108" t="s">
        <v>573</v>
      </c>
      <c r="T108" t="s">
        <v>382</v>
      </c>
    </row>
    <row r="109" spans="1:20" x14ac:dyDescent="0.35">
      <c r="A109" s="14" t="s">
        <v>286</v>
      </c>
      <c r="B109" t="s">
        <v>696</v>
      </c>
      <c r="C109">
        <v>2013</v>
      </c>
      <c r="D109" t="s">
        <v>697</v>
      </c>
      <c r="E109" t="s">
        <v>698</v>
      </c>
      <c r="F109" t="s">
        <v>865</v>
      </c>
      <c r="G109" t="s">
        <v>314</v>
      </c>
      <c r="H109" t="s">
        <v>699</v>
      </c>
      <c r="I109" t="s">
        <v>227</v>
      </c>
      <c r="J109" t="s">
        <v>282</v>
      </c>
      <c r="K109" t="s">
        <v>283</v>
      </c>
      <c r="L109" t="s">
        <v>284</v>
      </c>
      <c r="M109" t="s">
        <v>275</v>
      </c>
      <c r="N109" t="s">
        <v>482</v>
      </c>
      <c r="O109" t="s">
        <v>945</v>
      </c>
      <c r="P109" t="s">
        <v>573</v>
      </c>
      <c r="Q109" t="s">
        <v>569</v>
      </c>
      <c r="R109" t="s">
        <v>1012</v>
      </c>
      <c r="S109" t="s">
        <v>573</v>
      </c>
      <c r="T109" t="s">
        <v>382</v>
      </c>
    </row>
    <row r="110" spans="1:20" x14ac:dyDescent="0.35">
      <c r="A110" s="14" t="s">
        <v>286</v>
      </c>
      <c r="B110" t="s">
        <v>700</v>
      </c>
      <c r="C110">
        <v>2021</v>
      </c>
      <c r="D110" t="s">
        <v>701</v>
      </c>
      <c r="E110" t="s">
        <v>702</v>
      </c>
      <c r="F110" t="s">
        <v>866</v>
      </c>
      <c r="G110" t="s">
        <v>687</v>
      </c>
      <c r="I110" t="s">
        <v>227</v>
      </c>
      <c r="J110" t="s">
        <v>282</v>
      </c>
      <c r="K110" t="s">
        <v>283</v>
      </c>
      <c r="L110" t="s">
        <v>284</v>
      </c>
      <c r="M110" t="s">
        <v>275</v>
      </c>
      <c r="N110" t="s">
        <v>482</v>
      </c>
      <c r="O110" t="s">
        <v>946</v>
      </c>
      <c r="P110" t="s">
        <v>573</v>
      </c>
      <c r="Q110" t="s">
        <v>569</v>
      </c>
      <c r="R110" t="s">
        <v>1013</v>
      </c>
      <c r="S110" t="s">
        <v>573</v>
      </c>
      <c r="T110" t="s">
        <v>382</v>
      </c>
    </row>
    <row r="111" spans="1:20" x14ac:dyDescent="0.35">
      <c r="A111" s="14" t="s">
        <v>404</v>
      </c>
      <c r="B111" t="s">
        <v>703</v>
      </c>
      <c r="C111">
        <v>2024</v>
      </c>
      <c r="D111" t="s">
        <v>704</v>
      </c>
      <c r="E111" t="s">
        <v>705</v>
      </c>
      <c r="F111" t="s">
        <v>867</v>
      </c>
      <c r="G111" t="s">
        <v>706</v>
      </c>
      <c r="H111" t="s">
        <v>707</v>
      </c>
      <c r="I111" t="s">
        <v>226</v>
      </c>
      <c r="J111" t="s">
        <v>274</v>
      </c>
      <c r="K111" t="s">
        <v>271</v>
      </c>
      <c r="L111" t="s">
        <v>284</v>
      </c>
      <c r="M111" t="s">
        <v>275</v>
      </c>
      <c r="N111" t="s">
        <v>233</v>
      </c>
      <c r="O111" t="s">
        <v>947</v>
      </c>
      <c r="P111" t="s">
        <v>571</v>
      </c>
      <c r="Q111" t="s">
        <v>569</v>
      </c>
      <c r="R111" t="s">
        <v>1014</v>
      </c>
      <c r="S111" t="s">
        <v>571</v>
      </c>
      <c r="T111" t="s">
        <v>382</v>
      </c>
    </row>
    <row r="112" spans="1:20" x14ac:dyDescent="0.35">
      <c r="A112" s="14" t="s">
        <v>404</v>
      </c>
      <c r="B112" t="s">
        <v>708</v>
      </c>
      <c r="C112">
        <v>2022</v>
      </c>
      <c r="D112" t="s">
        <v>709</v>
      </c>
      <c r="E112" t="s">
        <v>710</v>
      </c>
      <c r="F112" t="s">
        <v>868</v>
      </c>
      <c r="G112" t="s">
        <v>711</v>
      </c>
      <c r="H112" t="s">
        <v>712</v>
      </c>
      <c r="I112" t="s">
        <v>226</v>
      </c>
      <c r="J112" t="s">
        <v>274</v>
      </c>
      <c r="K112" t="s">
        <v>271</v>
      </c>
      <c r="L112" t="s">
        <v>284</v>
      </c>
      <c r="M112" t="s">
        <v>285</v>
      </c>
      <c r="N112" t="s">
        <v>255</v>
      </c>
      <c r="O112" t="s">
        <v>948</v>
      </c>
      <c r="P112" t="s">
        <v>571</v>
      </c>
      <c r="Q112" t="s">
        <v>569</v>
      </c>
      <c r="R112" t="s">
        <v>1015</v>
      </c>
      <c r="S112" t="s">
        <v>571</v>
      </c>
      <c r="T112" t="s">
        <v>382</v>
      </c>
    </row>
    <row r="113" spans="1:20" x14ac:dyDescent="0.35">
      <c r="A113" s="14" t="s">
        <v>404</v>
      </c>
      <c r="B113" t="s">
        <v>713</v>
      </c>
      <c r="C113">
        <v>2022</v>
      </c>
      <c r="D113" t="s">
        <v>714</v>
      </c>
      <c r="E113" t="s">
        <v>715</v>
      </c>
      <c r="F113" t="s">
        <v>869</v>
      </c>
      <c r="G113" t="s">
        <v>716</v>
      </c>
      <c r="H113" t="s">
        <v>717</v>
      </c>
      <c r="I113" t="s">
        <v>227</v>
      </c>
      <c r="J113" t="s">
        <v>276</v>
      </c>
      <c r="K113" t="s">
        <v>271</v>
      </c>
      <c r="L113" t="s">
        <v>284</v>
      </c>
      <c r="M113" t="s">
        <v>275</v>
      </c>
      <c r="N113" t="s">
        <v>255</v>
      </c>
      <c r="O113" t="s">
        <v>949</v>
      </c>
      <c r="P113" t="s">
        <v>571</v>
      </c>
      <c r="Q113" t="s">
        <v>569</v>
      </c>
      <c r="R113" t="s">
        <v>1016</v>
      </c>
      <c r="S113" t="s">
        <v>571</v>
      </c>
      <c r="T113" t="s">
        <v>382</v>
      </c>
    </row>
    <row r="114" spans="1:20" x14ac:dyDescent="0.35">
      <c r="A114" s="14" t="s">
        <v>10</v>
      </c>
      <c r="B114" t="s">
        <v>718</v>
      </c>
      <c r="C114">
        <v>2018</v>
      </c>
      <c r="D114" t="s">
        <v>719</v>
      </c>
      <c r="E114" t="s">
        <v>720</v>
      </c>
      <c r="F114" t="s">
        <v>870</v>
      </c>
      <c r="G114" t="s">
        <v>721</v>
      </c>
      <c r="H114" t="s">
        <v>722</v>
      </c>
      <c r="I114" t="s">
        <v>226</v>
      </c>
      <c r="J114" t="s">
        <v>276</v>
      </c>
      <c r="K114" t="s">
        <v>271</v>
      </c>
      <c r="L114" t="s">
        <v>238</v>
      </c>
      <c r="M114" t="s">
        <v>272</v>
      </c>
      <c r="N114" t="s">
        <v>229</v>
      </c>
      <c r="O114" t="s">
        <v>950</v>
      </c>
      <c r="P114" t="s">
        <v>571</v>
      </c>
      <c r="Q114" t="s">
        <v>569</v>
      </c>
      <c r="R114" t="s">
        <v>719</v>
      </c>
      <c r="S114" t="s">
        <v>2043</v>
      </c>
      <c r="T114" t="s">
        <v>382</v>
      </c>
    </row>
    <row r="115" spans="1:20" x14ac:dyDescent="0.35">
      <c r="A115" s="14" t="s">
        <v>10</v>
      </c>
      <c r="B115" t="s">
        <v>723</v>
      </c>
      <c r="C115">
        <v>2021</v>
      </c>
      <c r="D115" t="s">
        <v>724</v>
      </c>
      <c r="E115" t="s">
        <v>329</v>
      </c>
      <c r="F115" t="s">
        <v>871</v>
      </c>
      <c r="G115" t="s">
        <v>291</v>
      </c>
      <c r="H115" t="s">
        <v>725</v>
      </c>
      <c r="I115" t="s">
        <v>226</v>
      </c>
      <c r="J115" t="s">
        <v>276</v>
      </c>
      <c r="K115" t="s">
        <v>271</v>
      </c>
      <c r="L115" t="s">
        <v>238</v>
      </c>
      <c r="M115" t="s">
        <v>272</v>
      </c>
      <c r="N115" t="s">
        <v>506</v>
      </c>
      <c r="O115" t="s">
        <v>951</v>
      </c>
      <c r="P115" t="s">
        <v>571</v>
      </c>
      <c r="Q115" t="s">
        <v>569</v>
      </c>
      <c r="R115" t="s">
        <v>1017</v>
      </c>
      <c r="S115" t="s">
        <v>2043</v>
      </c>
      <c r="T115" t="s">
        <v>382</v>
      </c>
    </row>
    <row r="116" spans="1:20" x14ac:dyDescent="0.35">
      <c r="A116" s="14" t="s">
        <v>10</v>
      </c>
      <c r="B116" t="s">
        <v>726</v>
      </c>
      <c r="C116">
        <v>2018</v>
      </c>
      <c r="D116" t="s">
        <v>727</v>
      </c>
      <c r="E116" t="s">
        <v>728</v>
      </c>
      <c r="F116" t="s">
        <v>872</v>
      </c>
      <c r="G116" t="s">
        <v>183</v>
      </c>
      <c r="H116" t="s">
        <v>729</v>
      </c>
      <c r="I116" t="s">
        <v>227</v>
      </c>
      <c r="J116" t="s">
        <v>276</v>
      </c>
      <c r="K116" t="s">
        <v>271</v>
      </c>
      <c r="L116" t="s">
        <v>238</v>
      </c>
      <c r="M116" t="s">
        <v>272</v>
      </c>
      <c r="N116" t="s">
        <v>231</v>
      </c>
      <c r="O116" t="s">
        <v>952</v>
      </c>
      <c r="P116" t="s">
        <v>571</v>
      </c>
      <c r="Q116" t="s">
        <v>569</v>
      </c>
      <c r="R116" t="s">
        <v>1018</v>
      </c>
      <c r="S116" t="s">
        <v>2043</v>
      </c>
      <c r="T116" t="s">
        <v>382</v>
      </c>
    </row>
    <row r="117" spans="1:20" x14ac:dyDescent="0.35">
      <c r="A117" s="14" t="s">
        <v>18</v>
      </c>
      <c r="B117" t="s">
        <v>599</v>
      </c>
      <c r="C117">
        <v>2020</v>
      </c>
      <c r="D117" t="s">
        <v>730</v>
      </c>
      <c r="E117" t="s">
        <v>106</v>
      </c>
      <c r="F117" t="s">
        <v>873</v>
      </c>
      <c r="G117" t="s">
        <v>174</v>
      </c>
      <c r="H117" t="s">
        <v>731</v>
      </c>
      <c r="I117" t="s">
        <v>227</v>
      </c>
      <c r="J117" t="s">
        <v>282</v>
      </c>
      <c r="K117" t="s">
        <v>280</v>
      </c>
      <c r="L117" t="s">
        <v>238</v>
      </c>
      <c r="M117" t="s">
        <v>275</v>
      </c>
      <c r="N117" t="s">
        <v>261</v>
      </c>
      <c r="O117" t="s">
        <v>953</v>
      </c>
      <c r="P117" t="s">
        <v>573</v>
      </c>
      <c r="Q117" t="s">
        <v>569</v>
      </c>
      <c r="R117" t="s">
        <v>1019</v>
      </c>
      <c r="S117" t="s">
        <v>568</v>
      </c>
      <c r="T117" t="s">
        <v>382</v>
      </c>
    </row>
    <row r="118" spans="1:20" x14ac:dyDescent="0.35">
      <c r="A118" s="14" t="s">
        <v>18</v>
      </c>
      <c r="B118" t="s">
        <v>732</v>
      </c>
      <c r="C118">
        <v>2022</v>
      </c>
      <c r="D118" t="s">
        <v>733</v>
      </c>
      <c r="E118" t="s">
        <v>734</v>
      </c>
      <c r="F118" t="s">
        <v>874</v>
      </c>
      <c r="G118" t="s">
        <v>687</v>
      </c>
      <c r="I118" t="s">
        <v>226</v>
      </c>
      <c r="J118" t="s">
        <v>270</v>
      </c>
      <c r="K118" t="s">
        <v>271</v>
      </c>
      <c r="L118" t="s">
        <v>284</v>
      </c>
      <c r="M118" t="s">
        <v>285</v>
      </c>
      <c r="N118" t="s">
        <v>542</v>
      </c>
      <c r="O118" t="s">
        <v>954</v>
      </c>
      <c r="P118" t="s">
        <v>568</v>
      </c>
      <c r="Q118" t="s">
        <v>569</v>
      </c>
      <c r="R118" t="s">
        <v>1020</v>
      </c>
      <c r="S118" t="s">
        <v>568</v>
      </c>
      <c r="T118" t="s">
        <v>382</v>
      </c>
    </row>
    <row r="119" spans="1:20" x14ac:dyDescent="0.35">
      <c r="A119" s="14" t="s">
        <v>18</v>
      </c>
      <c r="B119" t="s">
        <v>735</v>
      </c>
      <c r="C119">
        <v>2026</v>
      </c>
      <c r="D119" t="s">
        <v>736</v>
      </c>
      <c r="E119" t="s">
        <v>737</v>
      </c>
      <c r="F119" t="s">
        <v>875</v>
      </c>
      <c r="G119" t="s">
        <v>687</v>
      </c>
      <c r="H119" t="s">
        <v>738</v>
      </c>
      <c r="I119" t="s">
        <v>227</v>
      </c>
      <c r="J119" t="s">
        <v>278</v>
      </c>
      <c r="K119" t="s">
        <v>271</v>
      </c>
      <c r="L119" t="s">
        <v>284</v>
      </c>
      <c r="M119" t="s">
        <v>285</v>
      </c>
      <c r="N119" t="s">
        <v>542</v>
      </c>
      <c r="O119" t="s">
        <v>955</v>
      </c>
      <c r="P119" t="s">
        <v>571</v>
      </c>
      <c r="Q119" t="s">
        <v>569</v>
      </c>
      <c r="R119" t="s">
        <v>1021</v>
      </c>
      <c r="S119" t="s">
        <v>568</v>
      </c>
      <c r="T119" t="s">
        <v>382</v>
      </c>
    </row>
    <row r="120" spans="1:20" x14ac:dyDescent="0.35">
      <c r="A120" s="14" t="s">
        <v>19</v>
      </c>
      <c r="B120" t="s">
        <v>739</v>
      </c>
      <c r="C120">
        <v>2000</v>
      </c>
      <c r="D120" t="s">
        <v>740</v>
      </c>
      <c r="E120" t="s">
        <v>741</v>
      </c>
      <c r="F120" t="s">
        <v>876</v>
      </c>
      <c r="G120" t="s">
        <v>174</v>
      </c>
      <c r="H120" t="s">
        <v>742</v>
      </c>
      <c r="I120" t="s">
        <v>227</v>
      </c>
      <c r="J120" t="s">
        <v>273</v>
      </c>
      <c r="K120" t="s">
        <v>280</v>
      </c>
      <c r="L120" t="s">
        <v>238</v>
      </c>
      <c r="M120" t="s">
        <v>272</v>
      </c>
      <c r="N120" t="s">
        <v>233</v>
      </c>
      <c r="O120" t="s">
        <v>280</v>
      </c>
      <c r="P120" t="s">
        <v>570</v>
      </c>
      <c r="Q120" t="s">
        <v>569</v>
      </c>
      <c r="R120" t="s">
        <v>1022</v>
      </c>
      <c r="S120" t="s">
        <v>568</v>
      </c>
      <c r="T120" t="s">
        <v>2044</v>
      </c>
    </row>
    <row r="121" spans="1:20" x14ac:dyDescent="0.35">
      <c r="A121" s="14" t="s">
        <v>19</v>
      </c>
      <c r="B121" t="s">
        <v>743</v>
      </c>
      <c r="C121">
        <v>2022</v>
      </c>
      <c r="D121" t="s">
        <v>744</v>
      </c>
      <c r="E121" t="s">
        <v>745</v>
      </c>
      <c r="F121" t="s">
        <v>877</v>
      </c>
      <c r="G121" t="s">
        <v>746</v>
      </c>
      <c r="H121" t="s">
        <v>747</v>
      </c>
      <c r="I121" t="s">
        <v>226</v>
      </c>
      <c r="J121" t="s">
        <v>270</v>
      </c>
      <c r="K121" t="s">
        <v>280</v>
      </c>
      <c r="L121" t="s">
        <v>284</v>
      </c>
      <c r="M121" t="s">
        <v>275</v>
      </c>
      <c r="N121" t="s">
        <v>233</v>
      </c>
      <c r="O121" t="s">
        <v>956</v>
      </c>
      <c r="P121" t="s">
        <v>573</v>
      </c>
      <c r="Q121" t="s">
        <v>569</v>
      </c>
      <c r="R121" t="s">
        <v>1023</v>
      </c>
      <c r="S121" t="s">
        <v>568</v>
      </c>
      <c r="T121" t="s">
        <v>2044</v>
      </c>
    </row>
    <row r="122" spans="1:20" x14ac:dyDescent="0.35">
      <c r="A122" s="14" t="s">
        <v>19</v>
      </c>
      <c r="B122" t="s">
        <v>748</v>
      </c>
      <c r="C122">
        <v>1999</v>
      </c>
      <c r="D122" t="s">
        <v>749</v>
      </c>
      <c r="E122" t="s">
        <v>750</v>
      </c>
      <c r="F122" t="s">
        <v>878</v>
      </c>
      <c r="G122" t="s">
        <v>175</v>
      </c>
      <c r="H122" t="s">
        <v>751</v>
      </c>
      <c r="I122" t="s">
        <v>226</v>
      </c>
      <c r="J122" t="s">
        <v>278</v>
      </c>
      <c r="K122" t="s">
        <v>280</v>
      </c>
      <c r="L122" t="s">
        <v>238</v>
      </c>
      <c r="M122" t="s">
        <v>272</v>
      </c>
      <c r="N122" t="s">
        <v>563</v>
      </c>
      <c r="O122" t="s">
        <v>957</v>
      </c>
      <c r="P122" t="s">
        <v>568</v>
      </c>
      <c r="Q122" t="s">
        <v>569</v>
      </c>
      <c r="R122" t="s">
        <v>1024</v>
      </c>
      <c r="S122" t="s">
        <v>568</v>
      </c>
      <c r="T122" t="s">
        <v>2044</v>
      </c>
    </row>
    <row r="123" spans="1:20" x14ac:dyDescent="0.35">
      <c r="A123" s="14" t="s">
        <v>19</v>
      </c>
      <c r="B123" t="s">
        <v>752</v>
      </c>
      <c r="C123">
        <v>2003</v>
      </c>
      <c r="D123" t="s">
        <v>753</v>
      </c>
      <c r="E123" t="s">
        <v>754</v>
      </c>
      <c r="F123" t="s">
        <v>879</v>
      </c>
      <c r="G123" t="s">
        <v>174</v>
      </c>
      <c r="I123" t="s">
        <v>226</v>
      </c>
      <c r="J123" t="s">
        <v>278</v>
      </c>
      <c r="K123" t="s">
        <v>280</v>
      </c>
      <c r="L123" t="s">
        <v>238</v>
      </c>
      <c r="M123" t="s">
        <v>272</v>
      </c>
      <c r="N123" t="s">
        <v>231</v>
      </c>
      <c r="O123" t="s">
        <v>958</v>
      </c>
      <c r="P123" t="s">
        <v>568</v>
      </c>
      <c r="Q123" t="s">
        <v>569</v>
      </c>
      <c r="R123" t="s">
        <v>1025</v>
      </c>
      <c r="S123" t="s">
        <v>568</v>
      </c>
      <c r="T123" t="s">
        <v>2044</v>
      </c>
    </row>
    <row r="124" spans="1:20" x14ac:dyDescent="0.35">
      <c r="A124" s="14" t="s">
        <v>19</v>
      </c>
      <c r="B124" t="s">
        <v>755</v>
      </c>
      <c r="C124">
        <v>2016</v>
      </c>
      <c r="D124" t="s">
        <v>756</v>
      </c>
      <c r="E124" t="s">
        <v>757</v>
      </c>
      <c r="F124" t="s">
        <v>880</v>
      </c>
      <c r="G124" t="s">
        <v>183</v>
      </c>
      <c r="H124" t="s">
        <v>758</v>
      </c>
      <c r="I124" t="s">
        <v>226</v>
      </c>
      <c r="J124" t="s">
        <v>270</v>
      </c>
      <c r="K124" t="s">
        <v>280</v>
      </c>
      <c r="L124" t="s">
        <v>284</v>
      </c>
      <c r="M124" t="s">
        <v>275</v>
      </c>
      <c r="N124" t="s">
        <v>563</v>
      </c>
      <c r="O124" t="s">
        <v>959</v>
      </c>
      <c r="P124" t="s">
        <v>573</v>
      </c>
      <c r="Q124" t="s">
        <v>569</v>
      </c>
      <c r="R124" t="s">
        <v>1026</v>
      </c>
      <c r="S124" t="s">
        <v>568</v>
      </c>
      <c r="T124" t="s">
        <v>2044</v>
      </c>
    </row>
    <row r="125" spans="1:20" x14ac:dyDescent="0.35">
      <c r="A125" s="14" t="s">
        <v>19</v>
      </c>
      <c r="B125" t="s">
        <v>759</v>
      </c>
      <c r="C125">
        <v>2012</v>
      </c>
      <c r="D125" t="s">
        <v>760</v>
      </c>
      <c r="E125" t="s">
        <v>761</v>
      </c>
      <c r="F125" t="s">
        <v>881</v>
      </c>
      <c r="G125" t="s">
        <v>762</v>
      </c>
      <c r="H125" t="s">
        <v>763</v>
      </c>
      <c r="I125" t="s">
        <v>227</v>
      </c>
      <c r="J125" t="s">
        <v>279</v>
      </c>
      <c r="K125" t="s">
        <v>280</v>
      </c>
      <c r="L125" t="s">
        <v>238</v>
      </c>
      <c r="M125" t="s">
        <v>272</v>
      </c>
      <c r="N125" t="s">
        <v>233</v>
      </c>
      <c r="O125" t="s">
        <v>960</v>
      </c>
      <c r="P125" t="s">
        <v>579</v>
      </c>
      <c r="Q125" t="s">
        <v>569</v>
      </c>
      <c r="R125" t="s">
        <v>1027</v>
      </c>
      <c r="S125" t="s">
        <v>568</v>
      </c>
      <c r="T125" t="s">
        <v>2044</v>
      </c>
    </row>
    <row r="126" spans="1:20" x14ac:dyDescent="0.35">
      <c r="A126" s="14" t="s">
        <v>19</v>
      </c>
      <c r="B126" t="s">
        <v>764</v>
      </c>
      <c r="C126">
        <v>2016</v>
      </c>
      <c r="D126" t="s">
        <v>765</v>
      </c>
      <c r="E126" t="s">
        <v>766</v>
      </c>
      <c r="F126" t="s">
        <v>882</v>
      </c>
      <c r="G126" t="s">
        <v>767</v>
      </c>
      <c r="H126" t="s">
        <v>768</v>
      </c>
      <c r="I126" t="s">
        <v>227</v>
      </c>
      <c r="J126" t="s">
        <v>279</v>
      </c>
      <c r="K126" t="s">
        <v>280</v>
      </c>
      <c r="L126" t="s">
        <v>238</v>
      </c>
      <c r="M126" t="s">
        <v>272</v>
      </c>
      <c r="N126" t="s">
        <v>905</v>
      </c>
      <c r="O126" t="s">
        <v>961</v>
      </c>
      <c r="P126" t="s">
        <v>579</v>
      </c>
      <c r="Q126" t="s">
        <v>569</v>
      </c>
      <c r="R126" t="s">
        <v>1028</v>
      </c>
      <c r="S126" t="s">
        <v>568</v>
      </c>
      <c r="T126" t="s">
        <v>2044</v>
      </c>
    </row>
    <row r="127" spans="1:20" x14ac:dyDescent="0.35">
      <c r="A127" s="14" t="s">
        <v>19</v>
      </c>
      <c r="B127" t="s">
        <v>769</v>
      </c>
      <c r="C127">
        <v>1998</v>
      </c>
      <c r="D127" t="s">
        <v>770</v>
      </c>
      <c r="E127" t="s">
        <v>771</v>
      </c>
      <c r="F127" t="s">
        <v>883</v>
      </c>
      <c r="G127" t="s">
        <v>175</v>
      </c>
      <c r="H127" t="s">
        <v>772</v>
      </c>
      <c r="I127" t="s">
        <v>226</v>
      </c>
      <c r="J127" t="s">
        <v>277</v>
      </c>
      <c r="K127" t="s">
        <v>280</v>
      </c>
      <c r="L127" t="s">
        <v>284</v>
      </c>
      <c r="M127" t="s">
        <v>275</v>
      </c>
      <c r="N127" t="s">
        <v>229</v>
      </c>
      <c r="O127" t="s">
        <v>962</v>
      </c>
      <c r="P127" t="s">
        <v>573</v>
      </c>
      <c r="Q127" t="s">
        <v>569</v>
      </c>
      <c r="R127" t="s">
        <v>1029</v>
      </c>
      <c r="S127" t="s">
        <v>568</v>
      </c>
      <c r="T127" t="s">
        <v>2044</v>
      </c>
    </row>
    <row r="128" spans="1:20" x14ac:dyDescent="0.35">
      <c r="A128" s="14" t="s">
        <v>19</v>
      </c>
      <c r="B128" t="s">
        <v>773</v>
      </c>
      <c r="C128">
        <v>1998</v>
      </c>
      <c r="D128" t="s">
        <v>774</v>
      </c>
      <c r="E128" t="s">
        <v>775</v>
      </c>
      <c r="F128" t="s">
        <v>884</v>
      </c>
      <c r="G128" t="s">
        <v>175</v>
      </c>
      <c r="H128" t="s">
        <v>776</v>
      </c>
      <c r="I128" t="s">
        <v>227</v>
      </c>
      <c r="J128" t="s">
        <v>277</v>
      </c>
      <c r="K128" t="s">
        <v>280</v>
      </c>
      <c r="L128" t="s">
        <v>238</v>
      </c>
      <c r="M128" t="s">
        <v>272</v>
      </c>
      <c r="N128" t="s">
        <v>563</v>
      </c>
      <c r="O128" t="s">
        <v>963</v>
      </c>
      <c r="P128" t="s">
        <v>568</v>
      </c>
      <c r="Q128" t="s">
        <v>569</v>
      </c>
      <c r="R128" t="s">
        <v>1030</v>
      </c>
      <c r="S128" t="s">
        <v>568</v>
      </c>
      <c r="T128" t="s">
        <v>2044</v>
      </c>
    </row>
    <row r="129" spans="1:20" x14ac:dyDescent="0.35">
      <c r="A129" s="14" t="s">
        <v>19</v>
      </c>
      <c r="B129" t="s">
        <v>777</v>
      </c>
      <c r="C129">
        <v>2001</v>
      </c>
      <c r="D129" t="s">
        <v>778</v>
      </c>
      <c r="E129" t="s">
        <v>779</v>
      </c>
      <c r="F129" t="s">
        <v>885</v>
      </c>
      <c r="G129" t="s">
        <v>694</v>
      </c>
      <c r="H129" t="s">
        <v>780</v>
      </c>
      <c r="I129" t="s">
        <v>227</v>
      </c>
      <c r="J129" t="s">
        <v>278</v>
      </c>
      <c r="K129" t="s">
        <v>280</v>
      </c>
      <c r="L129" t="s">
        <v>284</v>
      </c>
      <c r="M129" t="s">
        <v>275</v>
      </c>
      <c r="N129" t="s">
        <v>231</v>
      </c>
      <c r="O129" t="s">
        <v>964</v>
      </c>
      <c r="P129" t="s">
        <v>573</v>
      </c>
      <c r="Q129" t="s">
        <v>569</v>
      </c>
      <c r="R129" t="s">
        <v>1031</v>
      </c>
      <c r="S129" t="s">
        <v>568</v>
      </c>
      <c r="T129" t="s">
        <v>2044</v>
      </c>
    </row>
    <row r="130" spans="1:20" x14ac:dyDescent="0.35">
      <c r="A130" s="14" t="s">
        <v>19</v>
      </c>
      <c r="B130" t="s">
        <v>781</v>
      </c>
      <c r="C130">
        <v>2018</v>
      </c>
      <c r="D130" t="s">
        <v>782</v>
      </c>
      <c r="E130" t="s">
        <v>783</v>
      </c>
      <c r="F130" t="s">
        <v>886</v>
      </c>
      <c r="G130" t="s">
        <v>291</v>
      </c>
      <c r="H130" t="s">
        <v>784</v>
      </c>
      <c r="I130" t="s">
        <v>227</v>
      </c>
      <c r="J130" t="s">
        <v>270</v>
      </c>
      <c r="K130" t="s">
        <v>280</v>
      </c>
      <c r="L130" t="s">
        <v>238</v>
      </c>
      <c r="M130" t="s">
        <v>272</v>
      </c>
      <c r="N130" t="s">
        <v>506</v>
      </c>
      <c r="O130" t="s">
        <v>965</v>
      </c>
      <c r="P130" t="s">
        <v>573</v>
      </c>
      <c r="Q130" t="s">
        <v>569</v>
      </c>
      <c r="R130" t="s">
        <v>1032</v>
      </c>
      <c r="S130" t="s">
        <v>568</v>
      </c>
      <c r="T130" t="s">
        <v>2044</v>
      </c>
    </row>
    <row r="131" spans="1:20" x14ac:dyDescent="0.35">
      <c r="A131" s="14" t="s">
        <v>19</v>
      </c>
      <c r="B131" t="s">
        <v>785</v>
      </c>
      <c r="C131">
        <v>2022</v>
      </c>
      <c r="D131" t="s">
        <v>786</v>
      </c>
      <c r="E131" t="s">
        <v>787</v>
      </c>
      <c r="F131" t="s">
        <v>887</v>
      </c>
      <c r="G131" t="s">
        <v>183</v>
      </c>
      <c r="H131" t="s">
        <v>788</v>
      </c>
      <c r="I131" t="s">
        <v>227</v>
      </c>
      <c r="J131" t="s">
        <v>282</v>
      </c>
      <c r="K131" t="s">
        <v>280</v>
      </c>
      <c r="L131" t="s">
        <v>238</v>
      </c>
      <c r="M131" t="s">
        <v>275</v>
      </c>
      <c r="N131" t="s">
        <v>233</v>
      </c>
      <c r="O131" t="s">
        <v>966</v>
      </c>
      <c r="P131" t="s">
        <v>579</v>
      </c>
      <c r="Q131" t="s">
        <v>569</v>
      </c>
      <c r="R131" t="s">
        <v>1033</v>
      </c>
      <c r="S131" t="s">
        <v>568</v>
      </c>
      <c r="T131" t="s">
        <v>2044</v>
      </c>
    </row>
    <row r="132" spans="1:20" x14ac:dyDescent="0.35">
      <c r="A132" s="14" t="s">
        <v>19</v>
      </c>
      <c r="B132" t="s">
        <v>789</v>
      </c>
      <c r="C132">
        <v>2017</v>
      </c>
      <c r="D132" t="s">
        <v>790</v>
      </c>
      <c r="E132" t="s">
        <v>791</v>
      </c>
      <c r="F132" t="s">
        <v>888</v>
      </c>
      <c r="G132" t="s">
        <v>183</v>
      </c>
      <c r="H132" t="s">
        <v>792</v>
      </c>
      <c r="I132" t="s">
        <v>226</v>
      </c>
      <c r="J132" t="s">
        <v>277</v>
      </c>
      <c r="K132" t="s">
        <v>280</v>
      </c>
      <c r="L132" t="s">
        <v>284</v>
      </c>
      <c r="M132" t="s">
        <v>275</v>
      </c>
      <c r="N132" t="s">
        <v>906</v>
      </c>
      <c r="O132" t="s">
        <v>967</v>
      </c>
      <c r="P132" t="s">
        <v>573</v>
      </c>
      <c r="Q132" t="s">
        <v>569</v>
      </c>
      <c r="R132" t="s">
        <v>1034</v>
      </c>
      <c r="S132" t="s">
        <v>568</v>
      </c>
      <c r="T132" t="s">
        <v>2044</v>
      </c>
    </row>
    <row r="133" spans="1:20" x14ac:dyDescent="0.35">
      <c r="A133" s="14" t="s">
        <v>19</v>
      </c>
      <c r="B133" t="s">
        <v>793</v>
      </c>
      <c r="C133">
        <v>2016</v>
      </c>
      <c r="D133" t="s">
        <v>794</v>
      </c>
      <c r="E133" t="s">
        <v>795</v>
      </c>
      <c r="F133" t="s">
        <v>889</v>
      </c>
      <c r="G133" t="s">
        <v>183</v>
      </c>
      <c r="H133" t="s">
        <v>796</v>
      </c>
      <c r="I133" t="s">
        <v>226</v>
      </c>
      <c r="J133" t="s">
        <v>277</v>
      </c>
      <c r="K133" t="s">
        <v>280</v>
      </c>
      <c r="L133" t="s">
        <v>238</v>
      </c>
      <c r="M133" t="s">
        <v>272</v>
      </c>
      <c r="N133" t="s">
        <v>563</v>
      </c>
      <c r="O133" t="s">
        <v>968</v>
      </c>
      <c r="P133" t="s">
        <v>573</v>
      </c>
      <c r="Q133" t="s">
        <v>569</v>
      </c>
      <c r="R133" t="s">
        <v>1035</v>
      </c>
      <c r="S133" t="s">
        <v>568</v>
      </c>
      <c r="T133" t="s">
        <v>2044</v>
      </c>
    </row>
    <row r="134" spans="1:20" x14ac:dyDescent="0.35">
      <c r="A134" s="14" t="s">
        <v>19</v>
      </c>
      <c r="B134" t="s">
        <v>797</v>
      </c>
      <c r="C134">
        <v>2020</v>
      </c>
      <c r="D134" t="s">
        <v>798</v>
      </c>
      <c r="E134" t="s">
        <v>799</v>
      </c>
      <c r="F134" t="s">
        <v>890</v>
      </c>
      <c r="G134" t="s">
        <v>711</v>
      </c>
      <c r="H134" t="s">
        <v>800</v>
      </c>
      <c r="I134" t="s">
        <v>227</v>
      </c>
      <c r="J134" t="s">
        <v>270</v>
      </c>
      <c r="K134" t="s">
        <v>280</v>
      </c>
      <c r="L134" t="s">
        <v>238</v>
      </c>
      <c r="M134" t="s">
        <v>275</v>
      </c>
      <c r="N134" t="s">
        <v>235</v>
      </c>
      <c r="O134" t="s">
        <v>969</v>
      </c>
      <c r="P134" t="s">
        <v>579</v>
      </c>
      <c r="Q134" t="s">
        <v>569</v>
      </c>
      <c r="R134" t="s">
        <v>1036</v>
      </c>
      <c r="S134" t="s">
        <v>568</v>
      </c>
      <c r="T134" t="s">
        <v>2044</v>
      </c>
    </row>
    <row r="135" spans="1:20" x14ac:dyDescent="0.35">
      <c r="A135" s="14" t="s">
        <v>19</v>
      </c>
      <c r="B135" t="s">
        <v>801</v>
      </c>
      <c r="C135">
        <v>2021</v>
      </c>
      <c r="D135" t="s">
        <v>802</v>
      </c>
      <c r="E135" t="s">
        <v>803</v>
      </c>
      <c r="F135" t="s">
        <v>891</v>
      </c>
      <c r="G135" t="s">
        <v>174</v>
      </c>
      <c r="H135" t="s">
        <v>804</v>
      </c>
      <c r="I135" t="s">
        <v>226</v>
      </c>
      <c r="J135" t="s">
        <v>273</v>
      </c>
      <c r="K135" t="s">
        <v>280</v>
      </c>
      <c r="L135" t="s">
        <v>238</v>
      </c>
      <c r="M135" t="s">
        <v>275</v>
      </c>
      <c r="N135" t="s">
        <v>233</v>
      </c>
      <c r="O135" t="s">
        <v>970</v>
      </c>
      <c r="P135" t="s">
        <v>579</v>
      </c>
      <c r="Q135" t="s">
        <v>569</v>
      </c>
      <c r="R135" t="s">
        <v>1037</v>
      </c>
      <c r="S135" t="s">
        <v>568</v>
      </c>
      <c r="T135" t="s">
        <v>2044</v>
      </c>
    </row>
    <row r="136" spans="1:20" x14ac:dyDescent="0.35">
      <c r="A136" s="14" t="s">
        <v>19</v>
      </c>
      <c r="B136" t="s">
        <v>805</v>
      </c>
      <c r="C136">
        <v>2016</v>
      </c>
      <c r="D136" t="s">
        <v>806</v>
      </c>
      <c r="E136" t="s">
        <v>807</v>
      </c>
      <c r="F136" t="s">
        <v>892</v>
      </c>
      <c r="G136" t="s">
        <v>808</v>
      </c>
      <c r="I136" t="s">
        <v>227</v>
      </c>
      <c r="J136" t="s">
        <v>273</v>
      </c>
      <c r="K136" t="s">
        <v>280</v>
      </c>
      <c r="L136" t="s">
        <v>238</v>
      </c>
      <c r="M136" t="s">
        <v>272</v>
      </c>
      <c r="N136" t="s">
        <v>907</v>
      </c>
      <c r="O136" t="s">
        <v>971</v>
      </c>
      <c r="P136" t="s">
        <v>579</v>
      </c>
      <c r="Q136" t="s">
        <v>569</v>
      </c>
      <c r="R136" t="s">
        <v>1038</v>
      </c>
      <c r="S136" t="s">
        <v>568</v>
      </c>
      <c r="T136" t="s">
        <v>2044</v>
      </c>
    </row>
    <row r="137" spans="1:20" x14ac:dyDescent="0.35">
      <c r="A137" s="14" t="s">
        <v>19</v>
      </c>
      <c r="B137" t="s">
        <v>809</v>
      </c>
      <c r="C137">
        <v>2018</v>
      </c>
      <c r="D137" t="s">
        <v>810</v>
      </c>
      <c r="E137" t="s">
        <v>811</v>
      </c>
      <c r="F137" t="s">
        <v>893</v>
      </c>
      <c r="G137" t="s">
        <v>174</v>
      </c>
      <c r="H137" t="s">
        <v>812</v>
      </c>
      <c r="I137" t="s">
        <v>227</v>
      </c>
      <c r="J137" t="s">
        <v>273</v>
      </c>
      <c r="K137" t="s">
        <v>280</v>
      </c>
      <c r="L137" t="s">
        <v>238</v>
      </c>
      <c r="M137" t="s">
        <v>275</v>
      </c>
      <c r="N137" t="s">
        <v>233</v>
      </c>
      <c r="O137" t="s">
        <v>972</v>
      </c>
      <c r="P137" t="s">
        <v>579</v>
      </c>
      <c r="Q137" t="s">
        <v>569</v>
      </c>
      <c r="R137" t="s">
        <v>1039</v>
      </c>
      <c r="S137" t="s">
        <v>568</v>
      </c>
      <c r="T137" t="s">
        <v>2044</v>
      </c>
    </row>
    <row r="138" spans="1:20" x14ac:dyDescent="0.35">
      <c r="A138" s="14" t="s">
        <v>19</v>
      </c>
      <c r="B138" t="s">
        <v>809</v>
      </c>
      <c r="C138">
        <v>2017</v>
      </c>
      <c r="D138" t="s">
        <v>813</v>
      </c>
      <c r="E138" t="s">
        <v>814</v>
      </c>
      <c r="F138" t="s">
        <v>894</v>
      </c>
      <c r="G138" t="s">
        <v>175</v>
      </c>
      <c r="H138" t="s">
        <v>815</v>
      </c>
      <c r="I138" t="s">
        <v>227</v>
      </c>
      <c r="J138" t="s">
        <v>278</v>
      </c>
      <c r="K138" t="s">
        <v>280</v>
      </c>
      <c r="L138" t="s">
        <v>238</v>
      </c>
      <c r="M138" t="s">
        <v>272</v>
      </c>
      <c r="N138" t="s">
        <v>233</v>
      </c>
      <c r="O138" t="s">
        <v>973</v>
      </c>
      <c r="P138" t="s">
        <v>579</v>
      </c>
      <c r="Q138" t="s">
        <v>569</v>
      </c>
      <c r="R138" t="s">
        <v>1040</v>
      </c>
      <c r="S138" t="s">
        <v>568</v>
      </c>
      <c r="T138" t="s">
        <v>2044</v>
      </c>
    </row>
    <row r="139" spans="1:20" x14ac:dyDescent="0.35">
      <c r="A139" s="14" t="s">
        <v>19</v>
      </c>
      <c r="B139" t="s">
        <v>816</v>
      </c>
      <c r="C139">
        <v>2017</v>
      </c>
      <c r="D139" t="s">
        <v>817</v>
      </c>
      <c r="E139" t="s">
        <v>818</v>
      </c>
      <c r="F139" t="s">
        <v>895</v>
      </c>
      <c r="G139" t="s">
        <v>819</v>
      </c>
      <c r="H139" t="s">
        <v>820</v>
      </c>
      <c r="I139" t="s">
        <v>226</v>
      </c>
      <c r="J139" t="s">
        <v>273</v>
      </c>
      <c r="K139" t="s">
        <v>280</v>
      </c>
      <c r="L139" t="s">
        <v>238</v>
      </c>
      <c r="M139" t="s">
        <v>272</v>
      </c>
      <c r="N139" t="s">
        <v>233</v>
      </c>
      <c r="O139" t="s">
        <v>974</v>
      </c>
      <c r="P139" t="s">
        <v>579</v>
      </c>
      <c r="Q139" t="s">
        <v>569</v>
      </c>
      <c r="R139" t="s">
        <v>1041</v>
      </c>
      <c r="S139" t="s">
        <v>568</v>
      </c>
      <c r="T139" t="s">
        <v>2044</v>
      </c>
    </row>
    <row r="140" spans="1:20" x14ac:dyDescent="0.35">
      <c r="A140" s="14" t="s">
        <v>19</v>
      </c>
      <c r="B140" t="s">
        <v>821</v>
      </c>
      <c r="C140">
        <v>2018</v>
      </c>
      <c r="D140" t="s">
        <v>822</v>
      </c>
      <c r="E140" t="s">
        <v>823</v>
      </c>
      <c r="F140" t="s">
        <v>896</v>
      </c>
      <c r="G140" t="s">
        <v>819</v>
      </c>
      <c r="H140" t="s">
        <v>824</v>
      </c>
      <c r="I140" t="s">
        <v>226</v>
      </c>
      <c r="J140" t="s">
        <v>273</v>
      </c>
      <c r="K140" t="s">
        <v>280</v>
      </c>
      <c r="L140" t="s">
        <v>238</v>
      </c>
      <c r="M140" t="s">
        <v>275</v>
      </c>
      <c r="N140" t="s">
        <v>908</v>
      </c>
      <c r="O140" t="s">
        <v>975</v>
      </c>
      <c r="P140" t="s">
        <v>579</v>
      </c>
      <c r="Q140" t="s">
        <v>569</v>
      </c>
      <c r="R140" t="s">
        <v>1042</v>
      </c>
      <c r="S140" t="s">
        <v>568</v>
      </c>
      <c r="T140" t="s">
        <v>2044</v>
      </c>
    </row>
    <row r="141" spans="1:20" x14ac:dyDescent="0.35">
      <c r="A141" s="14" t="s">
        <v>578</v>
      </c>
      <c r="B141" t="s">
        <v>825</v>
      </c>
      <c r="C141">
        <v>2018</v>
      </c>
      <c r="D141" t="s">
        <v>826</v>
      </c>
      <c r="E141" t="s">
        <v>827</v>
      </c>
      <c r="F141" t="s">
        <v>897</v>
      </c>
      <c r="G141" t="s">
        <v>711</v>
      </c>
      <c r="H141" t="s">
        <v>828</v>
      </c>
      <c r="I141" t="s">
        <v>227</v>
      </c>
      <c r="J141" t="s">
        <v>282</v>
      </c>
      <c r="K141" t="s">
        <v>280</v>
      </c>
      <c r="L141" t="s">
        <v>238</v>
      </c>
      <c r="M141" t="s">
        <v>275</v>
      </c>
      <c r="N141" t="s">
        <v>261</v>
      </c>
      <c r="O141" t="s">
        <v>976</v>
      </c>
      <c r="P141" t="s">
        <v>573</v>
      </c>
      <c r="Q141" t="s">
        <v>569</v>
      </c>
      <c r="R141" t="s">
        <v>1043</v>
      </c>
      <c r="S141" t="s">
        <v>571</v>
      </c>
      <c r="T141" t="s">
        <v>382</v>
      </c>
    </row>
    <row r="142" spans="1:20" x14ac:dyDescent="0.35">
      <c r="A142" s="14" t="s">
        <v>332</v>
      </c>
      <c r="B142" t="s">
        <v>684</v>
      </c>
      <c r="C142">
        <v>2021</v>
      </c>
      <c r="D142" t="s">
        <v>685</v>
      </c>
      <c r="E142" t="s">
        <v>686</v>
      </c>
      <c r="F142" t="s">
        <v>1044</v>
      </c>
      <c r="G142" t="s">
        <v>687</v>
      </c>
      <c r="I142" t="s">
        <v>225</v>
      </c>
      <c r="J142" t="s">
        <v>282</v>
      </c>
      <c r="K142" t="s">
        <v>283</v>
      </c>
      <c r="L142" t="s">
        <v>284</v>
      </c>
      <c r="M142" t="s">
        <v>285</v>
      </c>
      <c r="N142" t="s">
        <v>261</v>
      </c>
      <c r="O142" t="s">
        <v>1045</v>
      </c>
      <c r="P142" t="s">
        <v>573</v>
      </c>
      <c r="Q142" t="s">
        <v>569</v>
      </c>
      <c r="R142" t="s">
        <v>1046</v>
      </c>
      <c r="S142" t="s">
        <v>573</v>
      </c>
      <c r="T142" t="s">
        <v>382</v>
      </c>
    </row>
    <row r="143" spans="1:20" x14ac:dyDescent="0.35">
      <c r="A143" s="14" t="s">
        <v>332</v>
      </c>
      <c r="B143" t="s">
        <v>688</v>
      </c>
      <c r="C143">
        <v>2020</v>
      </c>
      <c r="D143" t="s">
        <v>689</v>
      </c>
      <c r="E143" t="s">
        <v>686</v>
      </c>
      <c r="F143" t="s">
        <v>1047</v>
      </c>
      <c r="G143" t="s">
        <v>687</v>
      </c>
      <c r="I143" t="s">
        <v>225</v>
      </c>
      <c r="J143" t="s">
        <v>282</v>
      </c>
      <c r="K143" t="s">
        <v>283</v>
      </c>
      <c r="L143" t="s">
        <v>284</v>
      </c>
      <c r="M143" t="s">
        <v>285</v>
      </c>
      <c r="N143" t="s">
        <v>261</v>
      </c>
      <c r="O143" t="s">
        <v>1045</v>
      </c>
      <c r="P143" t="s">
        <v>573</v>
      </c>
      <c r="Q143" t="s">
        <v>569</v>
      </c>
      <c r="R143" t="s">
        <v>1046</v>
      </c>
      <c r="S143" t="s">
        <v>573</v>
      </c>
      <c r="T143" t="s">
        <v>382</v>
      </c>
    </row>
    <row r="144" spans="1:20" x14ac:dyDescent="0.35">
      <c r="A144" s="14" t="s">
        <v>332</v>
      </c>
      <c r="B144" t="s">
        <v>690</v>
      </c>
      <c r="C144">
        <v>2019</v>
      </c>
      <c r="D144" t="s">
        <v>691</v>
      </c>
      <c r="E144" t="s">
        <v>686</v>
      </c>
      <c r="F144" t="s">
        <v>1048</v>
      </c>
      <c r="G144" t="s">
        <v>687</v>
      </c>
      <c r="I144" t="s">
        <v>225</v>
      </c>
      <c r="J144" t="s">
        <v>282</v>
      </c>
      <c r="K144" t="s">
        <v>283</v>
      </c>
      <c r="L144" t="s">
        <v>284</v>
      </c>
      <c r="M144" t="s">
        <v>285</v>
      </c>
      <c r="N144" t="s">
        <v>261</v>
      </c>
      <c r="O144" t="s">
        <v>1045</v>
      </c>
      <c r="P144" t="s">
        <v>573</v>
      </c>
      <c r="Q144" t="s">
        <v>569</v>
      </c>
      <c r="R144" t="s">
        <v>1046</v>
      </c>
      <c r="S144" t="s">
        <v>573</v>
      </c>
      <c r="T144" t="s">
        <v>382</v>
      </c>
    </row>
    <row r="145" spans="1:20" x14ac:dyDescent="0.35">
      <c r="A145" s="28" t="s">
        <v>1792</v>
      </c>
      <c r="B145" s="28" t="s">
        <v>1805</v>
      </c>
      <c r="C145" s="28">
        <v>2011</v>
      </c>
      <c r="D145" s="28" t="s">
        <v>1806</v>
      </c>
      <c r="E145" s="28" t="s">
        <v>329</v>
      </c>
      <c r="F145" s="28" t="s">
        <v>1807</v>
      </c>
      <c r="G145" s="28" t="s">
        <v>1808</v>
      </c>
      <c r="H145" s="28"/>
      <c r="I145" s="28" t="s">
        <v>226</v>
      </c>
      <c r="J145" s="28" t="s">
        <v>1809</v>
      </c>
      <c r="K145" s="28" t="s">
        <v>1810</v>
      </c>
      <c r="L145" s="28" t="s">
        <v>238</v>
      </c>
      <c r="M145" s="28" t="s">
        <v>285</v>
      </c>
      <c r="N145" s="28" t="s">
        <v>280</v>
      </c>
      <c r="O145" s="28"/>
      <c r="P145" s="28" t="s">
        <v>568</v>
      </c>
      <c r="Q145" s="28" t="s">
        <v>569</v>
      </c>
      <c r="R145" s="28" t="s">
        <v>1811</v>
      </c>
      <c r="S145" t="s">
        <v>568</v>
      </c>
      <c r="T145" t="s">
        <v>2044</v>
      </c>
    </row>
    <row r="146" spans="1:20" x14ac:dyDescent="0.35">
      <c r="A146" s="28" t="s">
        <v>1792</v>
      </c>
      <c r="B146" s="28" t="s">
        <v>1812</v>
      </c>
      <c r="C146" s="28">
        <v>2017</v>
      </c>
      <c r="D146" s="28" t="s">
        <v>1813</v>
      </c>
      <c r="E146" s="28" t="s">
        <v>445</v>
      </c>
      <c r="F146" s="28" t="s">
        <v>1814</v>
      </c>
      <c r="G146" s="28" t="s">
        <v>1808</v>
      </c>
      <c r="H146" s="28"/>
      <c r="I146" s="28" t="s">
        <v>226</v>
      </c>
      <c r="J146" s="28" t="s">
        <v>1809</v>
      </c>
      <c r="K146" s="28" t="s">
        <v>1810</v>
      </c>
      <c r="L146" s="28" t="s">
        <v>238</v>
      </c>
      <c r="M146" s="28" t="s">
        <v>285</v>
      </c>
      <c r="N146" s="28" t="s">
        <v>280</v>
      </c>
      <c r="O146" s="28"/>
      <c r="P146" s="28" t="s">
        <v>568</v>
      </c>
      <c r="Q146" s="28" t="s">
        <v>569</v>
      </c>
      <c r="R146" s="28" t="s">
        <v>1811</v>
      </c>
      <c r="S146" t="s">
        <v>568</v>
      </c>
      <c r="T146" t="s">
        <v>2044</v>
      </c>
    </row>
    <row r="147" spans="1:20" x14ac:dyDescent="0.35">
      <c r="A147" s="28" t="s">
        <v>1792</v>
      </c>
      <c r="B147" s="28" t="s">
        <v>1815</v>
      </c>
      <c r="C147" s="28">
        <v>1994</v>
      </c>
      <c r="D147" s="28" t="s">
        <v>1816</v>
      </c>
      <c r="E147" s="28" t="s">
        <v>783</v>
      </c>
      <c r="F147" s="28" t="s">
        <v>1817</v>
      </c>
      <c r="G147" s="28" t="s">
        <v>1808</v>
      </c>
      <c r="H147" s="28"/>
      <c r="I147" s="28" t="s">
        <v>226</v>
      </c>
      <c r="J147" s="28" t="s">
        <v>1809</v>
      </c>
      <c r="K147" s="28" t="s">
        <v>1810</v>
      </c>
      <c r="L147" s="28" t="s">
        <v>238</v>
      </c>
      <c r="M147" s="28" t="s">
        <v>285</v>
      </c>
      <c r="N147" s="28" t="s">
        <v>280</v>
      </c>
      <c r="O147" s="28"/>
      <c r="P147" s="28" t="s">
        <v>1818</v>
      </c>
      <c r="Q147" s="28" t="s">
        <v>569</v>
      </c>
      <c r="R147" s="28" t="s">
        <v>1819</v>
      </c>
      <c r="S147" t="s">
        <v>568</v>
      </c>
      <c r="T147" t="s">
        <v>2044</v>
      </c>
    </row>
    <row r="148" spans="1:20" x14ac:dyDescent="0.35">
      <c r="A148" s="28" t="s">
        <v>1792</v>
      </c>
      <c r="B148" s="28" t="s">
        <v>1820</v>
      </c>
      <c r="C148" s="28">
        <v>2016</v>
      </c>
      <c r="D148" s="28" t="s">
        <v>1821</v>
      </c>
      <c r="E148" s="28" t="s">
        <v>329</v>
      </c>
      <c r="F148" s="28" t="s">
        <v>1822</v>
      </c>
      <c r="G148" s="28" t="s">
        <v>1808</v>
      </c>
      <c r="H148" s="28"/>
      <c r="I148" s="28" t="s">
        <v>226</v>
      </c>
      <c r="J148" s="28" t="s">
        <v>1809</v>
      </c>
      <c r="K148" s="28" t="s">
        <v>1810</v>
      </c>
      <c r="L148" s="28" t="s">
        <v>238</v>
      </c>
      <c r="M148" s="28" t="s">
        <v>285</v>
      </c>
      <c r="N148" s="28" t="s">
        <v>280</v>
      </c>
      <c r="O148" s="28"/>
      <c r="P148" s="28" t="s">
        <v>568</v>
      </c>
      <c r="Q148" s="28" t="s">
        <v>569</v>
      </c>
      <c r="R148" s="28" t="s">
        <v>1811</v>
      </c>
      <c r="S148" t="s">
        <v>568</v>
      </c>
      <c r="T148" t="s">
        <v>2044</v>
      </c>
    </row>
    <row r="149" spans="1:20" x14ac:dyDescent="0.35">
      <c r="A149" s="28" t="s">
        <v>1823</v>
      </c>
      <c r="B149" s="28" t="s">
        <v>1824</v>
      </c>
      <c r="C149" s="28">
        <v>2012</v>
      </c>
      <c r="D149" s="28" t="s">
        <v>1825</v>
      </c>
      <c r="E149" s="28" t="s">
        <v>371</v>
      </c>
      <c r="F149" s="28" t="s">
        <v>1826</v>
      </c>
      <c r="G149" s="28" t="s">
        <v>1808</v>
      </c>
      <c r="H149" s="28"/>
      <c r="I149" s="28" t="s">
        <v>226</v>
      </c>
      <c r="J149" s="28" t="s">
        <v>1827</v>
      </c>
      <c r="K149" s="28" t="s">
        <v>1810</v>
      </c>
      <c r="L149" s="28" t="s">
        <v>1828</v>
      </c>
      <c r="M149" s="28" t="s">
        <v>285</v>
      </c>
      <c r="N149" s="28" t="s">
        <v>280</v>
      </c>
      <c r="O149" s="28"/>
      <c r="P149" s="28" t="s">
        <v>1829</v>
      </c>
      <c r="Q149" s="28" t="s">
        <v>569</v>
      </c>
      <c r="R149" s="28" t="s">
        <v>1830</v>
      </c>
      <c r="T149" t="s">
        <v>2045</v>
      </c>
    </row>
    <row r="150" spans="1:20" x14ac:dyDescent="0.35">
      <c r="A150" s="28" t="s">
        <v>1823</v>
      </c>
      <c r="B150" s="28" t="s">
        <v>1831</v>
      </c>
      <c r="C150" s="28">
        <v>2016</v>
      </c>
      <c r="D150" s="28" t="s">
        <v>1832</v>
      </c>
      <c r="E150" s="28" t="s">
        <v>329</v>
      </c>
      <c r="F150" s="28" t="s">
        <v>1833</v>
      </c>
      <c r="G150" s="28" t="s">
        <v>1808</v>
      </c>
      <c r="H150" s="28"/>
      <c r="I150" s="28" t="s">
        <v>226</v>
      </c>
      <c r="J150" s="28" t="s">
        <v>1827</v>
      </c>
      <c r="K150" s="28" t="s">
        <v>1810</v>
      </c>
      <c r="L150" s="28" t="s">
        <v>1828</v>
      </c>
      <c r="M150" s="28" t="s">
        <v>285</v>
      </c>
      <c r="N150" s="28" t="s">
        <v>280</v>
      </c>
      <c r="O150" s="28"/>
      <c r="P150" s="28" t="s">
        <v>1799</v>
      </c>
      <c r="Q150" s="28" t="s">
        <v>569</v>
      </c>
      <c r="R150" s="28" t="s">
        <v>1834</v>
      </c>
      <c r="T150" t="s">
        <v>2045</v>
      </c>
    </row>
    <row r="151" spans="1:20" x14ac:dyDescent="0.35">
      <c r="A151" s="28" t="s">
        <v>1823</v>
      </c>
      <c r="B151" s="28" t="s">
        <v>1835</v>
      </c>
      <c r="C151" s="28">
        <v>2022</v>
      </c>
      <c r="D151" s="28" t="s">
        <v>1836</v>
      </c>
      <c r="E151" s="28" t="s">
        <v>371</v>
      </c>
      <c r="F151" s="28" t="s">
        <v>1837</v>
      </c>
      <c r="G151" s="28" t="s">
        <v>1808</v>
      </c>
      <c r="H151" s="28"/>
      <c r="I151" s="28" t="s">
        <v>226</v>
      </c>
      <c r="J151" s="28" t="s">
        <v>1827</v>
      </c>
      <c r="K151" s="28" t="s">
        <v>1810</v>
      </c>
      <c r="L151" s="28" t="s">
        <v>1828</v>
      </c>
      <c r="M151" s="28" t="s">
        <v>285</v>
      </c>
      <c r="N151" s="28" t="s">
        <v>280</v>
      </c>
      <c r="O151" s="28"/>
      <c r="P151" s="28" t="s">
        <v>1799</v>
      </c>
      <c r="Q151" s="28" t="s">
        <v>569</v>
      </c>
      <c r="R151" s="28" t="s">
        <v>1834</v>
      </c>
      <c r="T151" t="s">
        <v>2045</v>
      </c>
    </row>
    <row r="152" spans="1:20" x14ac:dyDescent="0.35">
      <c r="A152" s="28" t="s">
        <v>1823</v>
      </c>
      <c r="B152" s="28" t="s">
        <v>1835</v>
      </c>
      <c r="C152" s="28">
        <v>2015</v>
      </c>
      <c r="D152" s="28" t="s">
        <v>1838</v>
      </c>
      <c r="E152" s="28" t="s">
        <v>371</v>
      </c>
      <c r="F152" s="28" t="s">
        <v>1839</v>
      </c>
      <c r="G152" s="28" t="s">
        <v>1808</v>
      </c>
      <c r="H152" s="28"/>
      <c r="I152" s="28" t="s">
        <v>226</v>
      </c>
      <c r="J152" s="28" t="s">
        <v>1827</v>
      </c>
      <c r="K152" s="28" t="s">
        <v>1810</v>
      </c>
      <c r="L152" s="28" t="s">
        <v>1828</v>
      </c>
      <c r="M152" s="28" t="s">
        <v>285</v>
      </c>
      <c r="N152" s="28" t="s">
        <v>280</v>
      </c>
      <c r="O152" s="28"/>
      <c r="P152" s="28" t="s">
        <v>1799</v>
      </c>
      <c r="Q152" s="28" t="s">
        <v>569</v>
      </c>
      <c r="R152" s="28" t="s">
        <v>1834</v>
      </c>
      <c r="T152" t="s">
        <v>2045</v>
      </c>
    </row>
    <row r="153" spans="1:20" x14ac:dyDescent="0.35">
      <c r="A153" s="28" t="s">
        <v>1796</v>
      </c>
      <c r="B153" s="28" t="s">
        <v>1840</v>
      </c>
      <c r="C153" s="28">
        <v>2012</v>
      </c>
      <c r="D153" s="28" t="s">
        <v>1841</v>
      </c>
      <c r="E153" s="28" t="s">
        <v>371</v>
      </c>
      <c r="F153" s="28" t="s">
        <v>1842</v>
      </c>
      <c r="G153" s="28" t="s">
        <v>1808</v>
      </c>
      <c r="H153" s="28"/>
      <c r="I153" s="28" t="s">
        <v>226</v>
      </c>
      <c r="J153" s="28" t="s">
        <v>1827</v>
      </c>
      <c r="K153" s="28" t="s">
        <v>1810</v>
      </c>
      <c r="L153" s="28" t="s">
        <v>1828</v>
      </c>
      <c r="M153" s="28" t="s">
        <v>285</v>
      </c>
      <c r="N153" s="28" t="s">
        <v>1843</v>
      </c>
      <c r="O153" s="28"/>
      <c r="P153" s="28" t="s">
        <v>1844</v>
      </c>
      <c r="Q153" s="28" t="s">
        <v>569</v>
      </c>
      <c r="R153" s="28" t="s">
        <v>1845</v>
      </c>
      <c r="T153" t="s">
        <v>2045</v>
      </c>
    </row>
    <row r="154" spans="1:20" x14ac:dyDescent="0.35">
      <c r="A154" s="28" t="s">
        <v>1796</v>
      </c>
      <c r="B154" s="28" t="s">
        <v>1846</v>
      </c>
      <c r="C154" s="28">
        <v>2009</v>
      </c>
      <c r="D154" s="28" t="s">
        <v>1847</v>
      </c>
      <c r="E154" s="28" t="s">
        <v>371</v>
      </c>
      <c r="F154" s="28" t="s">
        <v>1848</v>
      </c>
      <c r="G154" s="28" t="s">
        <v>1808</v>
      </c>
      <c r="H154" s="28"/>
      <c r="I154" s="28" t="s">
        <v>226</v>
      </c>
      <c r="J154" s="28" t="s">
        <v>1827</v>
      </c>
      <c r="K154" s="28" t="s">
        <v>1810</v>
      </c>
      <c r="L154" s="28" t="s">
        <v>1828</v>
      </c>
      <c r="M154" s="28" t="s">
        <v>285</v>
      </c>
      <c r="N154" s="28" t="s">
        <v>1843</v>
      </c>
      <c r="O154" s="28"/>
      <c r="P154" s="28" t="s">
        <v>1797</v>
      </c>
      <c r="Q154" s="28" t="s">
        <v>569</v>
      </c>
      <c r="R154" s="28" t="s">
        <v>1849</v>
      </c>
      <c r="T154" t="s">
        <v>2045</v>
      </c>
    </row>
    <row r="155" spans="1:20" x14ac:dyDescent="0.35">
      <c r="A155" s="28" t="s">
        <v>1796</v>
      </c>
      <c r="B155" s="28" t="s">
        <v>1835</v>
      </c>
      <c r="C155" s="28">
        <v>2022</v>
      </c>
      <c r="D155" s="28" t="s">
        <v>1850</v>
      </c>
      <c r="E155" s="28" t="s">
        <v>1851</v>
      </c>
      <c r="F155" s="28" t="s">
        <v>1852</v>
      </c>
      <c r="G155" s="28" t="s">
        <v>1808</v>
      </c>
      <c r="H155" s="28"/>
      <c r="I155" s="28" t="s">
        <v>226</v>
      </c>
      <c r="J155" s="28" t="s">
        <v>1827</v>
      </c>
      <c r="K155" s="28" t="s">
        <v>283</v>
      </c>
      <c r="L155" s="28" t="s">
        <v>1828</v>
      </c>
      <c r="M155" s="28" t="s">
        <v>285</v>
      </c>
      <c r="N155" s="28" t="s">
        <v>1843</v>
      </c>
      <c r="O155" s="28"/>
      <c r="P155" s="28" t="s">
        <v>1797</v>
      </c>
      <c r="Q155" s="28" t="s">
        <v>569</v>
      </c>
      <c r="R155" s="28" t="s">
        <v>1849</v>
      </c>
      <c r="T155" t="s">
        <v>2045</v>
      </c>
    </row>
    <row r="156" spans="1:20" x14ac:dyDescent="0.35">
      <c r="A156" s="28" t="s">
        <v>1796</v>
      </c>
      <c r="B156" s="28" t="s">
        <v>1835</v>
      </c>
      <c r="C156" s="28">
        <v>2023</v>
      </c>
      <c r="D156" s="28" t="s">
        <v>1853</v>
      </c>
      <c r="E156" s="28" t="s">
        <v>734</v>
      </c>
      <c r="F156" s="28" t="s">
        <v>1854</v>
      </c>
      <c r="G156" s="28" t="s">
        <v>1808</v>
      </c>
      <c r="H156" s="28"/>
      <c r="I156" s="28" t="s">
        <v>226</v>
      </c>
      <c r="J156" s="28" t="s">
        <v>1827</v>
      </c>
      <c r="K156" s="28" t="s">
        <v>1810</v>
      </c>
      <c r="L156" s="28" t="s">
        <v>1828</v>
      </c>
      <c r="M156" s="28" t="s">
        <v>285</v>
      </c>
      <c r="N156" s="28" t="s">
        <v>1843</v>
      </c>
      <c r="O156" s="28"/>
      <c r="P156" s="28" t="s">
        <v>1855</v>
      </c>
      <c r="Q156" s="28" t="s">
        <v>569</v>
      </c>
      <c r="R156" s="28" t="s">
        <v>1856</v>
      </c>
      <c r="T156" t="s">
        <v>2045</v>
      </c>
    </row>
    <row r="157" spans="1:20" x14ac:dyDescent="0.35">
      <c r="A157" s="28" t="s">
        <v>1791</v>
      </c>
      <c r="B157" s="28" t="s">
        <v>1857</v>
      </c>
      <c r="C157" s="28">
        <v>2015</v>
      </c>
      <c r="D157" s="28" t="s">
        <v>1858</v>
      </c>
      <c r="E157" s="28" t="s">
        <v>1859</v>
      </c>
      <c r="F157" s="28" t="s">
        <v>1860</v>
      </c>
      <c r="G157" s="28" t="s">
        <v>1808</v>
      </c>
      <c r="H157" s="28"/>
      <c r="I157" s="28" t="s">
        <v>226</v>
      </c>
      <c r="J157" s="28" t="s">
        <v>1503</v>
      </c>
      <c r="K157" s="28" t="s">
        <v>271</v>
      </c>
      <c r="L157" s="28" t="s">
        <v>1861</v>
      </c>
      <c r="M157" s="28" t="s">
        <v>285</v>
      </c>
      <c r="N157" s="28" t="s">
        <v>229</v>
      </c>
      <c r="O157" s="28"/>
      <c r="P157" s="28" t="s">
        <v>574</v>
      </c>
      <c r="Q157" s="28" t="s">
        <v>569</v>
      </c>
      <c r="R157" s="28" t="s">
        <v>1862</v>
      </c>
      <c r="S157" t="s">
        <v>574</v>
      </c>
      <c r="T157" t="s">
        <v>382</v>
      </c>
    </row>
    <row r="158" spans="1:20" x14ac:dyDescent="0.35">
      <c r="A158" s="28" t="s">
        <v>1791</v>
      </c>
      <c r="B158" s="28" t="s">
        <v>1863</v>
      </c>
      <c r="C158" s="28">
        <v>2012</v>
      </c>
      <c r="D158" s="28" t="s">
        <v>1864</v>
      </c>
      <c r="E158" s="28" t="s">
        <v>1865</v>
      </c>
      <c r="F158" s="28" t="s">
        <v>1866</v>
      </c>
      <c r="G158" s="28" t="s">
        <v>1808</v>
      </c>
      <c r="H158" s="28"/>
      <c r="I158" s="28" t="s">
        <v>226</v>
      </c>
      <c r="J158" s="28" t="s">
        <v>1503</v>
      </c>
      <c r="K158" s="28" t="s">
        <v>271</v>
      </c>
      <c r="L158" s="28" t="s">
        <v>1861</v>
      </c>
      <c r="M158" s="28" t="s">
        <v>285</v>
      </c>
      <c r="N158" s="28" t="s">
        <v>229</v>
      </c>
      <c r="O158" s="28"/>
      <c r="P158" s="28" t="s">
        <v>1790</v>
      </c>
      <c r="Q158" s="28" t="s">
        <v>569</v>
      </c>
      <c r="R158" s="28" t="s">
        <v>1867</v>
      </c>
      <c r="S158" t="s">
        <v>574</v>
      </c>
      <c r="T158" t="s">
        <v>382</v>
      </c>
    </row>
    <row r="159" spans="1:20" x14ac:dyDescent="0.35">
      <c r="A159" s="28" t="s">
        <v>1800</v>
      </c>
      <c r="B159" s="28" t="s">
        <v>1868</v>
      </c>
      <c r="C159" s="28">
        <v>2020</v>
      </c>
      <c r="D159" s="28" t="s">
        <v>1869</v>
      </c>
      <c r="E159" s="28" t="s">
        <v>371</v>
      </c>
      <c r="F159" s="28" t="s">
        <v>1870</v>
      </c>
      <c r="G159" s="28" t="s">
        <v>1808</v>
      </c>
      <c r="H159" s="28"/>
      <c r="I159" s="28" t="s">
        <v>226</v>
      </c>
      <c r="J159" s="28" t="s">
        <v>1871</v>
      </c>
      <c r="K159" s="28" t="s">
        <v>271</v>
      </c>
      <c r="L159" s="28" t="s">
        <v>1828</v>
      </c>
      <c r="M159" s="28" t="s">
        <v>285</v>
      </c>
      <c r="N159" s="28" t="s">
        <v>244</v>
      </c>
      <c r="O159" s="28"/>
      <c r="P159" s="28" t="s">
        <v>1794</v>
      </c>
      <c r="Q159" s="28" t="s">
        <v>569</v>
      </c>
      <c r="R159" s="28" t="s">
        <v>1872</v>
      </c>
      <c r="T159" t="s">
        <v>2045</v>
      </c>
    </row>
    <row r="160" spans="1:20" x14ac:dyDescent="0.35">
      <c r="A160" s="28" t="s">
        <v>1800</v>
      </c>
      <c r="B160" s="28" t="s">
        <v>1873</v>
      </c>
      <c r="C160" s="28">
        <v>2014</v>
      </c>
      <c r="D160" s="28" t="s">
        <v>1874</v>
      </c>
      <c r="E160" s="28" t="s">
        <v>1875</v>
      </c>
      <c r="F160" s="28" t="s">
        <v>1876</v>
      </c>
      <c r="G160" s="28" t="s">
        <v>1808</v>
      </c>
      <c r="H160" s="28"/>
      <c r="I160" s="28" t="s">
        <v>226</v>
      </c>
      <c r="J160" s="28" t="s">
        <v>1871</v>
      </c>
      <c r="K160" s="28" t="s">
        <v>271</v>
      </c>
      <c r="L160" s="28" t="s">
        <v>1828</v>
      </c>
      <c r="M160" s="28" t="s">
        <v>285</v>
      </c>
      <c r="N160" s="28" t="s">
        <v>244</v>
      </c>
      <c r="O160" s="28"/>
      <c r="P160" s="28" t="s">
        <v>1877</v>
      </c>
      <c r="Q160" s="28" t="s">
        <v>569</v>
      </c>
      <c r="R160" s="28" t="s">
        <v>1878</v>
      </c>
      <c r="T160" t="s">
        <v>2045</v>
      </c>
    </row>
    <row r="161" spans="1:20" x14ac:dyDescent="0.35">
      <c r="A161" s="28" t="s">
        <v>1800</v>
      </c>
      <c r="B161" s="28" t="s">
        <v>1835</v>
      </c>
      <c r="C161" s="28">
        <v>2021</v>
      </c>
      <c r="D161" s="28" t="s">
        <v>1879</v>
      </c>
      <c r="E161" s="28" t="s">
        <v>371</v>
      </c>
      <c r="F161" s="28" t="s">
        <v>1880</v>
      </c>
      <c r="G161" s="28" t="s">
        <v>1808</v>
      </c>
      <c r="H161" s="28"/>
      <c r="I161" s="28" t="s">
        <v>226</v>
      </c>
      <c r="J161" s="28" t="s">
        <v>1871</v>
      </c>
      <c r="K161" s="28" t="s">
        <v>283</v>
      </c>
      <c r="L161" s="28" t="s">
        <v>1828</v>
      </c>
      <c r="M161" s="28" t="s">
        <v>285</v>
      </c>
      <c r="N161" s="28" t="s">
        <v>244</v>
      </c>
      <c r="O161" s="28"/>
      <c r="P161" s="28" t="s">
        <v>1801</v>
      </c>
      <c r="Q161" s="28" t="s">
        <v>569</v>
      </c>
      <c r="R161" s="28" t="s">
        <v>1881</v>
      </c>
      <c r="T161" t="s">
        <v>2045</v>
      </c>
    </row>
    <row r="162" spans="1:20" x14ac:dyDescent="0.35">
      <c r="A162" s="28" t="s">
        <v>1800</v>
      </c>
      <c r="B162" s="28" t="s">
        <v>1882</v>
      </c>
      <c r="C162" s="28">
        <v>2015</v>
      </c>
      <c r="D162" s="28" t="s">
        <v>1883</v>
      </c>
      <c r="E162" s="28" t="s">
        <v>371</v>
      </c>
      <c r="F162" s="28" t="s">
        <v>1884</v>
      </c>
      <c r="G162" s="28" t="s">
        <v>1808</v>
      </c>
      <c r="H162" s="28"/>
      <c r="I162" s="28" t="s">
        <v>226</v>
      </c>
      <c r="J162" s="28" t="s">
        <v>1871</v>
      </c>
      <c r="K162" s="28" t="s">
        <v>1810</v>
      </c>
      <c r="L162" s="28" t="s">
        <v>1828</v>
      </c>
      <c r="M162" s="28" t="s">
        <v>285</v>
      </c>
      <c r="N162" s="28" t="s">
        <v>244</v>
      </c>
      <c r="O162" s="28"/>
      <c r="P162" s="28" t="s">
        <v>1801</v>
      </c>
      <c r="Q162" s="28" t="s">
        <v>569</v>
      </c>
      <c r="R162" s="28" t="s">
        <v>1881</v>
      </c>
      <c r="T162" t="s">
        <v>2045</v>
      </c>
    </row>
    <row r="163" spans="1:20" x14ac:dyDescent="0.35">
      <c r="A163" s="28" t="s">
        <v>1792</v>
      </c>
      <c r="B163" s="28" t="s">
        <v>1885</v>
      </c>
      <c r="C163" s="28">
        <v>1998</v>
      </c>
      <c r="D163" s="28" t="s">
        <v>1886</v>
      </c>
      <c r="E163" s="28" t="s">
        <v>1887</v>
      </c>
      <c r="F163" s="28" t="s">
        <v>1888</v>
      </c>
      <c r="G163" s="28" t="s">
        <v>1808</v>
      </c>
      <c r="H163" s="28"/>
      <c r="I163" s="28" t="s">
        <v>227</v>
      </c>
      <c r="J163" s="28" t="s">
        <v>270</v>
      </c>
      <c r="K163" s="28" t="s">
        <v>1810</v>
      </c>
      <c r="L163" s="28" t="s">
        <v>1861</v>
      </c>
      <c r="M163" s="28" t="s">
        <v>275</v>
      </c>
      <c r="N163" s="28" t="s">
        <v>280</v>
      </c>
      <c r="O163" s="28"/>
      <c r="P163" s="28" t="s">
        <v>568</v>
      </c>
      <c r="Q163" s="28" t="s">
        <v>569</v>
      </c>
      <c r="R163" s="28" t="s">
        <v>1889</v>
      </c>
      <c r="S163" t="s">
        <v>568</v>
      </c>
      <c r="T163" t="s">
        <v>2044</v>
      </c>
    </row>
    <row r="164" spans="1:20" x14ac:dyDescent="0.35">
      <c r="A164" s="28" t="s">
        <v>1792</v>
      </c>
      <c r="B164" s="28" t="s">
        <v>1890</v>
      </c>
      <c r="C164" s="28">
        <v>2011</v>
      </c>
      <c r="D164" s="28" t="s">
        <v>1891</v>
      </c>
      <c r="E164" s="28" t="s">
        <v>1892</v>
      </c>
      <c r="F164" s="28" t="s">
        <v>1893</v>
      </c>
      <c r="G164" s="28" t="s">
        <v>1808</v>
      </c>
      <c r="H164" s="28"/>
      <c r="I164" s="28" t="s">
        <v>227</v>
      </c>
      <c r="J164" s="28" t="s">
        <v>270</v>
      </c>
      <c r="K164" s="28" t="s">
        <v>1810</v>
      </c>
      <c r="L164" s="28" t="s">
        <v>1861</v>
      </c>
      <c r="M164" s="28" t="s">
        <v>275</v>
      </c>
      <c r="N164" s="28" t="s">
        <v>280</v>
      </c>
      <c r="O164" s="28"/>
      <c r="P164" s="28" t="s">
        <v>568</v>
      </c>
      <c r="Q164" s="28" t="s">
        <v>569</v>
      </c>
      <c r="R164" s="28" t="s">
        <v>1889</v>
      </c>
      <c r="S164" t="s">
        <v>568</v>
      </c>
      <c r="T164" t="s">
        <v>2044</v>
      </c>
    </row>
    <row r="165" spans="1:20" x14ac:dyDescent="0.35">
      <c r="A165" s="28" t="s">
        <v>1792</v>
      </c>
      <c r="B165" s="28" t="s">
        <v>1835</v>
      </c>
      <c r="C165" s="28">
        <v>2023</v>
      </c>
      <c r="D165" s="28" t="s">
        <v>1894</v>
      </c>
      <c r="E165" s="28" t="s">
        <v>371</v>
      </c>
      <c r="F165" s="28" t="s">
        <v>1895</v>
      </c>
      <c r="G165" s="28" t="s">
        <v>1808</v>
      </c>
      <c r="H165" s="28"/>
      <c r="I165" s="28" t="s">
        <v>227</v>
      </c>
      <c r="J165" s="28" t="s">
        <v>270</v>
      </c>
      <c r="K165" s="28" t="s">
        <v>1810</v>
      </c>
      <c r="L165" s="28" t="s">
        <v>1861</v>
      </c>
      <c r="M165" s="28" t="s">
        <v>275</v>
      </c>
      <c r="N165" s="28" t="s">
        <v>280</v>
      </c>
      <c r="O165" s="28"/>
      <c r="P165" s="28" t="s">
        <v>568</v>
      </c>
      <c r="Q165" s="28" t="s">
        <v>569</v>
      </c>
      <c r="R165" s="28" t="s">
        <v>1889</v>
      </c>
      <c r="S165" t="s">
        <v>568</v>
      </c>
      <c r="T165" t="s">
        <v>2044</v>
      </c>
    </row>
    <row r="166" spans="1:20" x14ac:dyDescent="0.35">
      <c r="A166" s="28" t="s">
        <v>1792</v>
      </c>
      <c r="B166" s="28" t="s">
        <v>1896</v>
      </c>
      <c r="C166" s="28">
        <v>2021</v>
      </c>
      <c r="D166" s="28" t="s">
        <v>1897</v>
      </c>
      <c r="E166" s="28" t="s">
        <v>1898</v>
      </c>
      <c r="F166" s="28" t="s">
        <v>1899</v>
      </c>
      <c r="G166" s="28" t="s">
        <v>1808</v>
      </c>
      <c r="H166" s="28"/>
      <c r="I166" s="28" t="s">
        <v>227</v>
      </c>
      <c r="J166" s="28" t="s">
        <v>270</v>
      </c>
      <c r="K166" s="28" t="s">
        <v>1810</v>
      </c>
      <c r="L166" s="28" t="s">
        <v>1861</v>
      </c>
      <c r="M166" s="28" t="s">
        <v>275</v>
      </c>
      <c r="N166" s="28" t="s">
        <v>280</v>
      </c>
      <c r="O166" s="28"/>
      <c r="P166" s="28" t="s">
        <v>568</v>
      </c>
      <c r="Q166" s="28" t="s">
        <v>569</v>
      </c>
      <c r="R166" s="28" t="s">
        <v>1889</v>
      </c>
      <c r="S166" t="s">
        <v>568</v>
      </c>
      <c r="T166" t="s">
        <v>2044</v>
      </c>
    </row>
    <row r="167" spans="1:20" x14ac:dyDescent="0.35">
      <c r="A167" s="28" t="s">
        <v>1900</v>
      </c>
      <c r="B167" s="28" t="s">
        <v>1835</v>
      </c>
      <c r="C167" s="28">
        <v>2018</v>
      </c>
      <c r="D167" s="28" t="s">
        <v>1901</v>
      </c>
      <c r="E167" s="28" t="s">
        <v>371</v>
      </c>
      <c r="F167" s="28" t="s">
        <v>1902</v>
      </c>
      <c r="G167" s="28" t="s">
        <v>1808</v>
      </c>
      <c r="H167" s="28"/>
      <c r="I167" s="28" t="s">
        <v>227</v>
      </c>
      <c r="J167" s="28" t="s">
        <v>270</v>
      </c>
      <c r="K167" s="28" t="s">
        <v>1810</v>
      </c>
      <c r="L167" s="28" t="s">
        <v>1861</v>
      </c>
      <c r="M167" s="28" t="s">
        <v>275</v>
      </c>
      <c r="N167" s="28" t="s">
        <v>280</v>
      </c>
      <c r="O167" s="28"/>
      <c r="P167" s="28" t="s">
        <v>568</v>
      </c>
      <c r="Q167" s="28" t="s">
        <v>569</v>
      </c>
      <c r="R167" s="28" t="s">
        <v>1889</v>
      </c>
      <c r="S167" t="s">
        <v>568</v>
      </c>
      <c r="T167" t="s">
        <v>2044</v>
      </c>
    </row>
    <row r="168" spans="1:20" x14ac:dyDescent="0.35">
      <c r="A168" s="28" t="s">
        <v>1903</v>
      </c>
      <c r="B168" s="28" t="s">
        <v>1904</v>
      </c>
      <c r="C168" s="28">
        <v>2012</v>
      </c>
      <c r="D168" s="28" t="s">
        <v>1905</v>
      </c>
      <c r="E168" s="28" t="s">
        <v>1906</v>
      </c>
      <c r="F168" s="28" t="s">
        <v>1907</v>
      </c>
      <c r="G168" s="28" t="s">
        <v>1808</v>
      </c>
      <c r="H168" s="28"/>
      <c r="I168" s="28" t="s">
        <v>227</v>
      </c>
      <c r="J168" s="28" t="s">
        <v>277</v>
      </c>
      <c r="K168" s="28" t="s">
        <v>1810</v>
      </c>
      <c r="L168" s="28" t="s">
        <v>1861</v>
      </c>
      <c r="M168" s="28" t="s">
        <v>275</v>
      </c>
      <c r="N168" s="28" t="s">
        <v>280</v>
      </c>
      <c r="O168" s="28"/>
      <c r="P168" s="28" t="s">
        <v>568</v>
      </c>
      <c r="Q168" s="28" t="s">
        <v>569</v>
      </c>
      <c r="R168" s="28" t="s">
        <v>1889</v>
      </c>
      <c r="S168" t="s">
        <v>568</v>
      </c>
      <c r="T168" t="s">
        <v>2044</v>
      </c>
    </row>
    <row r="169" spans="1:20" x14ac:dyDescent="0.35">
      <c r="A169" s="28" t="s">
        <v>1903</v>
      </c>
      <c r="B169" s="28" t="s">
        <v>1835</v>
      </c>
      <c r="C169" s="28">
        <v>2023</v>
      </c>
      <c r="D169" s="28" t="s">
        <v>1908</v>
      </c>
      <c r="E169" s="28" t="s">
        <v>371</v>
      </c>
      <c r="F169" s="28" t="s">
        <v>1909</v>
      </c>
      <c r="G169" s="28" t="s">
        <v>1808</v>
      </c>
      <c r="H169" s="28"/>
      <c r="I169" s="28" t="s">
        <v>227</v>
      </c>
      <c r="J169" s="28" t="s">
        <v>277</v>
      </c>
      <c r="K169" s="28" t="s">
        <v>1810</v>
      </c>
      <c r="L169" s="28" t="s">
        <v>1861</v>
      </c>
      <c r="M169" s="28" t="s">
        <v>275</v>
      </c>
      <c r="N169" s="28" t="s">
        <v>280</v>
      </c>
      <c r="O169" s="28"/>
      <c r="P169" s="28" t="s">
        <v>1789</v>
      </c>
      <c r="Q169" s="28" t="s">
        <v>569</v>
      </c>
      <c r="R169" s="28" t="s">
        <v>1910</v>
      </c>
      <c r="S169" t="s">
        <v>568</v>
      </c>
      <c r="T169" t="s">
        <v>2044</v>
      </c>
    </row>
    <row r="170" spans="1:20" x14ac:dyDescent="0.35">
      <c r="A170" s="28" t="s">
        <v>1903</v>
      </c>
      <c r="B170" s="28" t="s">
        <v>1911</v>
      </c>
      <c r="C170" s="28">
        <v>2012</v>
      </c>
      <c r="D170" s="28" t="s">
        <v>1912</v>
      </c>
      <c r="E170" s="28" t="s">
        <v>1913</v>
      </c>
      <c r="F170" s="28" t="s">
        <v>1914</v>
      </c>
      <c r="G170" s="28" t="s">
        <v>1808</v>
      </c>
      <c r="H170" s="28"/>
      <c r="I170" s="28" t="s">
        <v>227</v>
      </c>
      <c r="J170" s="28" t="s">
        <v>277</v>
      </c>
      <c r="K170" s="28" t="s">
        <v>1810</v>
      </c>
      <c r="L170" s="28" t="s">
        <v>1861</v>
      </c>
      <c r="M170" s="28" t="s">
        <v>275</v>
      </c>
      <c r="N170" s="28" t="s">
        <v>280</v>
      </c>
      <c r="O170" s="28"/>
      <c r="P170" s="28" t="s">
        <v>571</v>
      </c>
      <c r="Q170" s="28" t="s">
        <v>569</v>
      </c>
      <c r="R170" s="28" t="s">
        <v>1915</v>
      </c>
      <c r="S170" t="s">
        <v>568</v>
      </c>
      <c r="T170" t="s">
        <v>2044</v>
      </c>
    </row>
    <row r="171" spans="1:20" x14ac:dyDescent="0.35">
      <c r="A171" s="28" t="s">
        <v>1903</v>
      </c>
      <c r="B171" s="28" t="s">
        <v>1835</v>
      </c>
      <c r="C171" s="28">
        <v>2022</v>
      </c>
      <c r="D171" s="28" t="s">
        <v>1916</v>
      </c>
      <c r="E171" s="28" t="s">
        <v>371</v>
      </c>
      <c r="F171" s="28" t="s">
        <v>1917</v>
      </c>
      <c r="G171" s="28" t="s">
        <v>1808</v>
      </c>
      <c r="H171" s="28"/>
      <c r="I171" s="28" t="s">
        <v>227</v>
      </c>
      <c r="J171" s="28" t="s">
        <v>277</v>
      </c>
      <c r="K171" s="28" t="s">
        <v>1810</v>
      </c>
      <c r="L171" s="28" t="s">
        <v>1861</v>
      </c>
      <c r="M171" s="28" t="s">
        <v>275</v>
      </c>
      <c r="N171" s="28" t="s">
        <v>280</v>
      </c>
      <c r="O171" s="28"/>
      <c r="P171" s="28" t="s">
        <v>1918</v>
      </c>
      <c r="Q171" s="28" t="s">
        <v>569</v>
      </c>
      <c r="R171" s="28" t="s">
        <v>1919</v>
      </c>
      <c r="S171" t="s">
        <v>568</v>
      </c>
      <c r="T171" t="s">
        <v>2044</v>
      </c>
    </row>
    <row r="172" spans="1:20" x14ac:dyDescent="0.35">
      <c r="A172" s="28" t="s">
        <v>1793</v>
      </c>
      <c r="B172" s="28" t="s">
        <v>1920</v>
      </c>
      <c r="C172" s="28">
        <v>2023</v>
      </c>
      <c r="D172" s="28" t="s">
        <v>1921</v>
      </c>
      <c r="E172" s="28" t="s">
        <v>1922</v>
      </c>
      <c r="F172" s="28" t="s">
        <v>1923</v>
      </c>
      <c r="G172" s="28" t="s">
        <v>1808</v>
      </c>
      <c r="H172" s="28"/>
      <c r="I172" s="28" t="s">
        <v>227</v>
      </c>
      <c r="J172" s="28" t="s">
        <v>1924</v>
      </c>
      <c r="K172" s="28" t="s">
        <v>271</v>
      </c>
      <c r="L172" s="28" t="s">
        <v>1861</v>
      </c>
      <c r="M172" s="28" t="s">
        <v>275</v>
      </c>
      <c r="N172" s="28" t="s">
        <v>280</v>
      </c>
      <c r="O172" s="28"/>
      <c r="P172" s="28" t="s">
        <v>575</v>
      </c>
      <c r="Q172" s="28" t="s">
        <v>569</v>
      </c>
      <c r="R172" s="28" t="s">
        <v>1925</v>
      </c>
      <c r="S172" t="s">
        <v>575</v>
      </c>
      <c r="T172" t="s">
        <v>382</v>
      </c>
    </row>
    <row r="173" spans="1:20" x14ac:dyDescent="0.35">
      <c r="A173" s="28" t="s">
        <v>1793</v>
      </c>
      <c r="B173" s="28" t="s">
        <v>1926</v>
      </c>
      <c r="C173" s="28">
        <v>2023</v>
      </c>
      <c r="D173" s="28" t="s">
        <v>1927</v>
      </c>
      <c r="E173" s="28" t="s">
        <v>371</v>
      </c>
      <c r="F173" s="28" t="s">
        <v>1928</v>
      </c>
      <c r="G173" s="28" t="s">
        <v>1808</v>
      </c>
      <c r="H173" s="28"/>
      <c r="I173" s="28" t="s">
        <v>227</v>
      </c>
      <c r="J173" s="28" t="s">
        <v>1924</v>
      </c>
      <c r="K173" s="28" t="s">
        <v>283</v>
      </c>
      <c r="L173" s="28" t="s">
        <v>1861</v>
      </c>
      <c r="M173" s="28" t="s">
        <v>275</v>
      </c>
      <c r="N173" s="28" t="s">
        <v>280</v>
      </c>
      <c r="O173" s="28"/>
      <c r="P173" s="28" t="s">
        <v>1929</v>
      </c>
      <c r="Q173" s="28" t="s">
        <v>569</v>
      </c>
      <c r="R173" s="28" t="s">
        <v>1930</v>
      </c>
      <c r="S173" t="s">
        <v>575</v>
      </c>
      <c r="T173" t="s">
        <v>382</v>
      </c>
    </row>
    <row r="174" spans="1:20" x14ac:dyDescent="0.35">
      <c r="A174" s="28" t="s">
        <v>1793</v>
      </c>
      <c r="B174" s="28" t="s">
        <v>1835</v>
      </c>
      <c r="C174" s="28">
        <v>2023</v>
      </c>
      <c r="D174" s="28" t="s">
        <v>1931</v>
      </c>
      <c r="E174" s="28" t="s">
        <v>371</v>
      </c>
      <c r="F174" s="28" t="s">
        <v>1932</v>
      </c>
      <c r="G174" s="28" t="s">
        <v>1808</v>
      </c>
      <c r="H174" s="28"/>
      <c r="I174" s="28" t="s">
        <v>227</v>
      </c>
      <c r="J174" s="28" t="s">
        <v>1924</v>
      </c>
      <c r="K174" s="28" t="s">
        <v>283</v>
      </c>
      <c r="L174" s="28" t="s">
        <v>1861</v>
      </c>
      <c r="M174" s="28" t="s">
        <v>275</v>
      </c>
      <c r="N174" s="28" t="s">
        <v>280</v>
      </c>
      <c r="O174" s="28"/>
      <c r="P174" s="28" t="s">
        <v>1929</v>
      </c>
      <c r="Q174" s="28" t="s">
        <v>569</v>
      </c>
      <c r="R174" s="28" t="s">
        <v>1930</v>
      </c>
      <c r="S174" t="s">
        <v>575</v>
      </c>
      <c r="T174" t="s">
        <v>382</v>
      </c>
    </row>
    <row r="175" spans="1:20" x14ac:dyDescent="0.35">
      <c r="A175" s="28" t="s">
        <v>1793</v>
      </c>
      <c r="B175" s="28" t="s">
        <v>1835</v>
      </c>
      <c r="C175" s="28">
        <v>2024</v>
      </c>
      <c r="D175" s="28" t="s">
        <v>1933</v>
      </c>
      <c r="E175" s="28" t="s">
        <v>371</v>
      </c>
      <c r="F175" s="28" t="s">
        <v>1934</v>
      </c>
      <c r="G175" s="28" t="s">
        <v>1808</v>
      </c>
      <c r="H175" s="28"/>
      <c r="I175" s="28" t="s">
        <v>227</v>
      </c>
      <c r="J175" s="28" t="s">
        <v>1924</v>
      </c>
      <c r="K175" s="28" t="s">
        <v>271</v>
      </c>
      <c r="L175" s="28" t="s">
        <v>1861</v>
      </c>
      <c r="M175" s="28" t="s">
        <v>275</v>
      </c>
      <c r="N175" s="28" t="s">
        <v>280</v>
      </c>
      <c r="O175" s="28"/>
      <c r="P175" s="28" t="s">
        <v>1929</v>
      </c>
      <c r="Q175" s="28" t="s">
        <v>569</v>
      </c>
      <c r="R175" s="28" t="s">
        <v>1930</v>
      </c>
      <c r="S175" t="s">
        <v>575</v>
      </c>
      <c r="T175" t="s">
        <v>382</v>
      </c>
    </row>
    <row r="176" spans="1:20" x14ac:dyDescent="0.35">
      <c r="A176" s="28" t="s">
        <v>1935</v>
      </c>
      <c r="B176" s="28" t="s">
        <v>1835</v>
      </c>
      <c r="C176" s="28">
        <v>2023</v>
      </c>
      <c r="D176" s="28" t="s">
        <v>1936</v>
      </c>
      <c r="E176" s="28" t="s">
        <v>371</v>
      </c>
      <c r="F176" s="28" t="s">
        <v>1937</v>
      </c>
      <c r="G176" s="28" t="s">
        <v>1808</v>
      </c>
      <c r="H176" s="28"/>
      <c r="I176" s="28" t="s">
        <v>227</v>
      </c>
      <c r="J176" s="28" t="s">
        <v>1938</v>
      </c>
      <c r="K176" s="28" t="s">
        <v>1810</v>
      </c>
      <c r="L176" s="28" t="s">
        <v>1939</v>
      </c>
      <c r="M176" s="28" t="s">
        <v>275</v>
      </c>
      <c r="N176" s="28" t="s">
        <v>280</v>
      </c>
      <c r="O176" s="28"/>
      <c r="P176" s="28" t="s">
        <v>1918</v>
      </c>
      <c r="Q176" s="28" t="s">
        <v>569</v>
      </c>
      <c r="R176" s="28" t="s">
        <v>1940</v>
      </c>
      <c r="S176" t="s">
        <v>568</v>
      </c>
      <c r="T176" t="s">
        <v>2044</v>
      </c>
    </row>
    <row r="177" spans="1:20" x14ac:dyDescent="0.35">
      <c r="A177" s="28" t="s">
        <v>1935</v>
      </c>
      <c r="B177" s="28" t="s">
        <v>1941</v>
      </c>
      <c r="C177" s="28">
        <v>2001</v>
      </c>
      <c r="D177" s="28" t="s">
        <v>1942</v>
      </c>
      <c r="E177" s="28" t="s">
        <v>1943</v>
      </c>
      <c r="F177" s="28" t="s">
        <v>1944</v>
      </c>
      <c r="G177" s="28" t="s">
        <v>1808</v>
      </c>
      <c r="H177" s="28"/>
      <c r="I177" s="28" t="s">
        <v>227</v>
      </c>
      <c r="J177" s="28" t="s">
        <v>1938</v>
      </c>
      <c r="K177" s="28" t="s">
        <v>1810</v>
      </c>
      <c r="L177" s="28" t="s">
        <v>1939</v>
      </c>
      <c r="M177" s="28" t="s">
        <v>275</v>
      </c>
      <c r="N177" s="28" t="s">
        <v>280</v>
      </c>
      <c r="O177" s="28"/>
      <c r="P177" s="28" t="s">
        <v>1945</v>
      </c>
      <c r="Q177" s="28" t="s">
        <v>569</v>
      </c>
      <c r="R177" s="28" t="s">
        <v>1946</v>
      </c>
      <c r="S177" t="s">
        <v>568</v>
      </c>
      <c r="T177" t="s">
        <v>2044</v>
      </c>
    </row>
    <row r="178" spans="1:20" x14ac:dyDescent="0.35">
      <c r="A178" s="28" t="s">
        <v>1935</v>
      </c>
      <c r="B178" s="28" t="s">
        <v>1835</v>
      </c>
      <c r="C178" s="28">
        <v>2023</v>
      </c>
      <c r="D178" s="28" t="s">
        <v>1947</v>
      </c>
      <c r="E178" s="28" t="s">
        <v>371</v>
      </c>
      <c r="F178" s="28" t="s">
        <v>1948</v>
      </c>
      <c r="G178" s="28" t="s">
        <v>1808</v>
      </c>
      <c r="H178" s="28"/>
      <c r="I178" s="28" t="s">
        <v>227</v>
      </c>
      <c r="J178" s="28" t="s">
        <v>1938</v>
      </c>
      <c r="K178" s="28" t="s">
        <v>271</v>
      </c>
      <c r="L178" s="28" t="s">
        <v>1939</v>
      </c>
      <c r="M178" s="28" t="s">
        <v>275</v>
      </c>
      <c r="N178" s="28" t="s">
        <v>280</v>
      </c>
      <c r="O178" s="28"/>
      <c r="P178" s="28" t="s">
        <v>1949</v>
      </c>
      <c r="Q178" s="28" t="s">
        <v>569</v>
      </c>
      <c r="R178" s="28" t="s">
        <v>1950</v>
      </c>
      <c r="S178" t="s">
        <v>568</v>
      </c>
      <c r="T178" t="s">
        <v>2044</v>
      </c>
    </row>
    <row r="179" spans="1:20" x14ac:dyDescent="0.35">
      <c r="A179" s="28" t="s">
        <v>1802</v>
      </c>
      <c r="B179" s="28" t="s">
        <v>1951</v>
      </c>
      <c r="C179" s="28">
        <v>2019</v>
      </c>
      <c r="D179" s="28" t="s">
        <v>1952</v>
      </c>
      <c r="E179" s="28" t="s">
        <v>371</v>
      </c>
      <c r="F179" s="28" t="s">
        <v>1953</v>
      </c>
      <c r="G179" s="28" t="s">
        <v>1808</v>
      </c>
      <c r="H179" s="28"/>
      <c r="I179" s="28" t="s">
        <v>227</v>
      </c>
      <c r="J179" s="28" t="s">
        <v>1954</v>
      </c>
      <c r="K179" s="28" t="s">
        <v>1810</v>
      </c>
      <c r="L179" s="28" t="s">
        <v>1828</v>
      </c>
      <c r="M179" s="28" t="s">
        <v>275</v>
      </c>
      <c r="N179" s="28" t="s">
        <v>280</v>
      </c>
      <c r="O179" s="28"/>
      <c r="P179" s="28" t="s">
        <v>1804</v>
      </c>
      <c r="Q179" s="28" t="s">
        <v>569</v>
      </c>
      <c r="R179" s="28" t="s">
        <v>1955</v>
      </c>
      <c r="T179" t="s">
        <v>2045</v>
      </c>
    </row>
    <row r="180" spans="1:20" x14ac:dyDescent="0.35">
      <c r="A180" s="28" t="s">
        <v>1802</v>
      </c>
      <c r="B180" s="28" t="s">
        <v>1835</v>
      </c>
      <c r="C180" s="28">
        <v>2023</v>
      </c>
      <c r="D180" s="28" t="s">
        <v>1956</v>
      </c>
      <c r="E180" s="28" t="s">
        <v>371</v>
      </c>
      <c r="F180" s="28" t="s">
        <v>1957</v>
      </c>
      <c r="G180" s="28" t="s">
        <v>1808</v>
      </c>
      <c r="H180" s="28"/>
      <c r="I180" s="28" t="s">
        <v>227</v>
      </c>
      <c r="J180" s="28" t="s">
        <v>1954</v>
      </c>
      <c r="K180" s="28" t="s">
        <v>1810</v>
      </c>
      <c r="L180" s="28" t="s">
        <v>1828</v>
      </c>
      <c r="M180" s="28" t="s">
        <v>275</v>
      </c>
      <c r="N180" s="28" t="s">
        <v>280</v>
      </c>
      <c r="O180" s="28"/>
      <c r="P180" s="28" t="s">
        <v>1804</v>
      </c>
      <c r="Q180" s="28" t="s">
        <v>569</v>
      </c>
      <c r="R180" s="28" t="s">
        <v>1955</v>
      </c>
      <c r="T180" t="s">
        <v>2045</v>
      </c>
    </row>
    <row r="181" spans="1:20" x14ac:dyDescent="0.35">
      <c r="A181" s="28" t="s">
        <v>1802</v>
      </c>
      <c r="B181" s="28" t="s">
        <v>1958</v>
      </c>
      <c r="C181" s="28">
        <v>2023</v>
      </c>
      <c r="D181" s="28" t="s">
        <v>1803</v>
      </c>
      <c r="E181" s="28" t="s">
        <v>371</v>
      </c>
      <c r="F181" s="28" t="s">
        <v>1959</v>
      </c>
      <c r="G181" s="28" t="s">
        <v>1808</v>
      </c>
      <c r="H181" s="28"/>
      <c r="I181" s="28" t="s">
        <v>227</v>
      </c>
      <c r="J181" s="28" t="s">
        <v>1954</v>
      </c>
      <c r="K181" s="28" t="s">
        <v>1810</v>
      </c>
      <c r="L181" s="28" t="s">
        <v>1828</v>
      </c>
      <c r="M181" s="28" t="s">
        <v>275</v>
      </c>
      <c r="N181" s="28" t="s">
        <v>280</v>
      </c>
      <c r="O181" s="28"/>
      <c r="P181" s="28" t="s">
        <v>1804</v>
      </c>
      <c r="Q181" s="28" t="s">
        <v>569</v>
      </c>
      <c r="R181" s="28" t="s">
        <v>1955</v>
      </c>
      <c r="T181" t="s">
        <v>2045</v>
      </c>
    </row>
    <row r="182" spans="1:20" x14ac:dyDescent="0.35">
      <c r="A182" s="28" t="s">
        <v>1792</v>
      </c>
      <c r="B182" s="28" t="s">
        <v>1960</v>
      </c>
      <c r="C182" s="28">
        <v>2008</v>
      </c>
      <c r="D182" s="28" t="s">
        <v>1961</v>
      </c>
      <c r="E182" s="28" t="s">
        <v>371</v>
      </c>
      <c r="F182" s="28" t="s">
        <v>1962</v>
      </c>
      <c r="G182" s="28" t="s">
        <v>1808</v>
      </c>
      <c r="H182" s="28"/>
      <c r="I182" s="28" t="s">
        <v>1434</v>
      </c>
      <c r="J182" s="28" t="s">
        <v>270</v>
      </c>
      <c r="K182" s="28" t="s">
        <v>1810</v>
      </c>
      <c r="L182" s="28" t="s">
        <v>1861</v>
      </c>
      <c r="M182" s="28" t="s">
        <v>272</v>
      </c>
      <c r="N182" s="28" t="s">
        <v>280</v>
      </c>
      <c r="O182" s="28"/>
      <c r="P182" s="28" t="s">
        <v>568</v>
      </c>
      <c r="Q182" s="28" t="s">
        <v>569</v>
      </c>
      <c r="R182" s="28" t="s">
        <v>1963</v>
      </c>
      <c r="S182" t="s">
        <v>568</v>
      </c>
      <c r="T182" t="s">
        <v>2044</v>
      </c>
    </row>
    <row r="183" spans="1:20" x14ac:dyDescent="0.35">
      <c r="A183" s="28" t="s">
        <v>1788</v>
      </c>
      <c r="B183" s="28" t="s">
        <v>1835</v>
      </c>
      <c r="C183" s="28">
        <v>2021</v>
      </c>
      <c r="D183" s="28" t="s">
        <v>1964</v>
      </c>
      <c r="E183" s="28" t="s">
        <v>371</v>
      </c>
      <c r="F183" s="28" t="s">
        <v>1965</v>
      </c>
      <c r="G183" s="28" t="s">
        <v>1808</v>
      </c>
      <c r="H183" s="28"/>
      <c r="I183" s="28" t="s">
        <v>1434</v>
      </c>
      <c r="J183" s="28" t="s">
        <v>270</v>
      </c>
      <c r="K183" s="28" t="s">
        <v>271</v>
      </c>
      <c r="L183" s="28" t="s">
        <v>1861</v>
      </c>
      <c r="M183" s="28" t="s">
        <v>272</v>
      </c>
      <c r="N183" s="28" t="s">
        <v>229</v>
      </c>
      <c r="O183" s="28"/>
      <c r="P183" s="28" t="s">
        <v>568</v>
      </c>
      <c r="Q183" s="28" t="s">
        <v>569</v>
      </c>
      <c r="R183" s="28" t="s">
        <v>1963</v>
      </c>
      <c r="S183" t="s">
        <v>570</v>
      </c>
      <c r="T183" t="s">
        <v>382</v>
      </c>
    </row>
    <row r="184" spans="1:20" x14ac:dyDescent="0.35">
      <c r="A184" s="28" t="s">
        <v>1966</v>
      </c>
      <c r="B184" s="28" t="s">
        <v>1967</v>
      </c>
      <c r="C184" s="28">
        <v>2018</v>
      </c>
      <c r="D184" s="28" t="s">
        <v>1968</v>
      </c>
      <c r="E184" s="28" t="s">
        <v>134</v>
      </c>
      <c r="F184" s="28" t="s">
        <v>1969</v>
      </c>
      <c r="G184" s="28" t="s">
        <v>1808</v>
      </c>
      <c r="H184" s="28"/>
      <c r="I184" s="28" t="s">
        <v>1434</v>
      </c>
      <c r="J184" s="28" t="s">
        <v>276</v>
      </c>
      <c r="K184" s="28" t="s">
        <v>1810</v>
      </c>
      <c r="L184" s="28" t="s">
        <v>1939</v>
      </c>
      <c r="M184" s="28" t="s">
        <v>272</v>
      </c>
      <c r="N184" s="28" t="s">
        <v>280</v>
      </c>
      <c r="O184" s="28"/>
      <c r="P184" s="28" t="s">
        <v>1795</v>
      </c>
      <c r="Q184" s="28" t="s">
        <v>569</v>
      </c>
      <c r="R184" s="28" t="s">
        <v>1970</v>
      </c>
      <c r="S184" t="s">
        <v>571</v>
      </c>
      <c r="T184" t="s">
        <v>2044</v>
      </c>
    </row>
    <row r="185" spans="1:20" x14ac:dyDescent="0.35">
      <c r="A185" s="28" t="s">
        <v>1966</v>
      </c>
      <c r="B185" s="28" t="s">
        <v>1835</v>
      </c>
      <c r="C185" s="28">
        <v>2021</v>
      </c>
      <c r="D185" s="28" t="s">
        <v>1971</v>
      </c>
      <c r="E185" s="28" t="s">
        <v>371</v>
      </c>
      <c r="F185" s="28" t="s">
        <v>1972</v>
      </c>
      <c r="G185" s="28" t="s">
        <v>1808</v>
      </c>
      <c r="H185" s="28"/>
      <c r="I185" s="28" t="s">
        <v>1434</v>
      </c>
      <c r="J185" s="28" t="s">
        <v>276</v>
      </c>
      <c r="K185" s="28" t="s">
        <v>1810</v>
      </c>
      <c r="L185" s="28" t="s">
        <v>1861</v>
      </c>
      <c r="M185" s="28" t="s">
        <v>272</v>
      </c>
      <c r="N185" s="28" t="s">
        <v>280</v>
      </c>
      <c r="O185" s="28"/>
      <c r="P185" s="28" t="s">
        <v>571</v>
      </c>
      <c r="Q185" s="28" t="s">
        <v>569</v>
      </c>
      <c r="R185" s="28" t="s">
        <v>1973</v>
      </c>
      <c r="S185" t="s">
        <v>571</v>
      </c>
      <c r="T185" t="s">
        <v>2044</v>
      </c>
    </row>
    <row r="186" spans="1:20" x14ac:dyDescent="0.35">
      <c r="A186" s="28" t="s">
        <v>1798</v>
      </c>
      <c r="B186" s="28" t="s">
        <v>1835</v>
      </c>
      <c r="C186" s="28">
        <v>2022</v>
      </c>
      <c r="D186" s="28" t="s">
        <v>1974</v>
      </c>
      <c r="E186" s="28" t="s">
        <v>371</v>
      </c>
      <c r="F186" s="28" t="s">
        <v>1975</v>
      </c>
      <c r="G186" s="28" t="s">
        <v>1808</v>
      </c>
      <c r="H186" s="28"/>
      <c r="I186" s="28" t="s">
        <v>1434</v>
      </c>
      <c r="J186" s="28" t="s">
        <v>1827</v>
      </c>
      <c r="K186" s="28" t="s">
        <v>1810</v>
      </c>
      <c r="L186" s="28" t="s">
        <v>1828</v>
      </c>
      <c r="M186" s="28" t="s">
        <v>272</v>
      </c>
      <c r="N186" s="28" t="s">
        <v>280</v>
      </c>
      <c r="O186" s="28"/>
      <c r="P186" s="28" t="s">
        <v>1976</v>
      </c>
      <c r="Q186" s="28" t="s">
        <v>569</v>
      </c>
      <c r="R186" s="28" t="s">
        <v>1977</v>
      </c>
      <c r="T186" t="s">
        <v>2045</v>
      </c>
    </row>
    <row r="187" spans="1:20" x14ac:dyDescent="0.35">
      <c r="A187" s="28" t="s">
        <v>1798</v>
      </c>
      <c r="B187" s="28" t="s">
        <v>1835</v>
      </c>
      <c r="C187" s="28">
        <v>2021</v>
      </c>
      <c r="D187" s="28" t="s">
        <v>1978</v>
      </c>
      <c r="E187" s="28" t="s">
        <v>371</v>
      </c>
      <c r="F187" s="28" t="s">
        <v>1979</v>
      </c>
      <c r="G187" s="28" t="s">
        <v>1808</v>
      </c>
      <c r="H187" s="28"/>
      <c r="I187" s="28" t="s">
        <v>1434</v>
      </c>
      <c r="J187" s="28" t="s">
        <v>1827</v>
      </c>
      <c r="K187" s="28" t="s">
        <v>1810</v>
      </c>
      <c r="L187" s="28" t="s">
        <v>1828</v>
      </c>
      <c r="M187" s="28" t="s">
        <v>272</v>
      </c>
      <c r="N187" s="28" t="s">
        <v>280</v>
      </c>
      <c r="O187" s="28"/>
      <c r="P187" s="28" t="s">
        <v>571</v>
      </c>
      <c r="Q187" s="28" t="s">
        <v>569</v>
      </c>
      <c r="R187" s="28" t="s">
        <v>1980</v>
      </c>
      <c r="T187" t="s">
        <v>2045</v>
      </c>
    </row>
  </sheetData>
  <conditionalFormatting sqref="Q2:Q72">
    <cfRule type="expression" dxfId="12" priority="1">
      <formula>EXACT($Q2,"Read")</formula>
    </cfRule>
    <cfRule type="expression" dxfId="11" priority="2">
      <formula>EXACT($Q2,"Reading")</formula>
    </cfRule>
  </conditionalFormatting>
  <conditionalFormatting sqref="S2:T187">
    <cfRule type="expression" dxfId="10" priority="3">
      <formula>$T2="Core"</formula>
    </cfRule>
    <cfRule type="expression" dxfId="9" priority="4">
      <formula>$T2="Context"</formula>
    </cfRule>
  </conditionalFormatting>
  <dataValidations count="1">
    <dataValidation type="list" allowBlank="1" showInputMessage="1" showErrorMessage="1" sqref="Q2:Q72" xr:uid="{45F76AFC-5E99-4678-A0EA-99DF9CD14652}">
      <formula1>"To read,Reading,Read"</formula1>
    </dataValidation>
  </dataValidations>
  <hyperlinks>
    <hyperlink ref="H2" r:id="rId1" xr:uid="{00000000-0004-0000-0000-000000000000}"/>
    <hyperlink ref="H4" r:id="rId2" xr:uid="{00000000-0004-0000-0000-000001000000}"/>
    <hyperlink ref="H6" r:id="rId3" xr:uid="{00000000-0004-0000-0000-000002000000}"/>
    <hyperlink ref="H12" r:id="rId4" xr:uid="{00000000-0004-0000-0000-000003000000}"/>
    <hyperlink ref="H14" r:id="rId5" xr:uid="{00000000-0004-0000-0000-000004000000}"/>
    <hyperlink ref="H16" r:id="rId6" xr:uid="{00000000-0004-0000-0000-000005000000}"/>
    <hyperlink ref="H18" r:id="rId7" xr:uid="{00000000-0004-0000-0000-000006000000}"/>
    <hyperlink ref="H19" r:id="rId8" xr:uid="{00000000-0004-0000-0000-000007000000}"/>
    <hyperlink ref="H25" r:id="rId9" xr:uid="{00000000-0004-0000-0000-000008000000}"/>
    <hyperlink ref="H26" r:id="rId10" xr:uid="{00000000-0004-0000-0000-000009000000}"/>
    <hyperlink ref="H28" r:id="rId11" xr:uid="{00000000-0004-0000-0000-00000A000000}"/>
    <hyperlink ref="H29" r:id="rId12" xr:uid="{00000000-0004-0000-0000-00000B000000}"/>
    <hyperlink ref="H31" r:id="rId13" xr:uid="{00000000-0004-0000-0000-00000C000000}"/>
    <hyperlink ref="H32" r:id="rId14" xr:uid="{00000000-0004-0000-0000-00000D000000}"/>
    <hyperlink ref="H37" r:id="rId15" xr:uid="{00000000-0004-0000-0000-00000E000000}"/>
    <hyperlink ref="H39" r:id="rId16" xr:uid="{00000000-0004-0000-0000-00000F000000}"/>
    <hyperlink ref="H40" r:id="rId17" xr:uid="{00000000-0004-0000-0000-000010000000}"/>
  </hyperlinks>
  <pageMargins left="0.7" right="0.7" top="0.75" bottom="0.75" header="0.3" footer="0.3"/>
  <pageSetup paperSize="9" orientation="portrait" r:id="rId18"/>
  <legacy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F0F5-874E-4DD3-A36D-12DD0089D0AE}">
  <dimension ref="A1:R102"/>
  <sheetViews>
    <sheetView topLeftCell="D1" workbookViewId="0">
      <pane ySplit="1" topLeftCell="A22" activePane="bottomLeft" state="frozen"/>
      <selection pane="bottomLeft" activeCell="D36" sqref="D36"/>
    </sheetView>
  </sheetViews>
  <sheetFormatPr defaultRowHeight="14.5" x14ac:dyDescent="0.35"/>
  <cols>
    <col min="1" max="2" width="34.54296875" customWidth="1"/>
    <col min="3" max="3" width="7.6328125" customWidth="1"/>
    <col min="4" max="4" width="60" customWidth="1"/>
    <col min="5" max="5" width="25.453125" customWidth="1"/>
    <col min="6" max="6" width="54.54296875" customWidth="1"/>
    <col min="7" max="7" width="27.26953125" customWidth="1"/>
    <col min="8" max="8" width="38.1796875" customWidth="1"/>
    <col min="9" max="9" width="16" customWidth="1"/>
    <col min="10" max="10" width="23.6328125" customWidth="1"/>
    <col min="11" max="12" width="20" customWidth="1"/>
    <col min="13" max="13" width="16.36328125" customWidth="1"/>
    <col min="14" max="14" width="20" customWidth="1"/>
    <col min="15" max="15" width="54.54296875" customWidth="1"/>
    <col min="16" max="16" width="9.453125" customWidth="1"/>
    <col min="17" max="17" width="14.1796875" customWidth="1"/>
    <col min="18" max="18" width="54.54296875" customWidth="1"/>
  </cols>
  <sheetData>
    <row r="1" spans="1:18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266</v>
      </c>
      <c r="K1" s="19" t="s">
        <v>267</v>
      </c>
      <c r="L1" s="19" t="s">
        <v>268</v>
      </c>
      <c r="M1" s="19" t="s">
        <v>269</v>
      </c>
      <c r="N1" s="19" t="s">
        <v>458</v>
      </c>
      <c r="O1" s="19" t="s">
        <v>459</v>
      </c>
      <c r="P1" s="19" t="s">
        <v>565</v>
      </c>
      <c r="Q1" s="19" t="s">
        <v>566</v>
      </c>
      <c r="R1" s="19" t="s">
        <v>567</v>
      </c>
    </row>
    <row r="2" spans="1:18" ht="43.5" x14ac:dyDescent="0.35">
      <c r="A2" s="16" t="s">
        <v>1049</v>
      </c>
      <c r="B2" t="s">
        <v>1050</v>
      </c>
      <c r="C2">
        <v>2022</v>
      </c>
      <c r="D2" t="s">
        <v>1051</v>
      </c>
      <c r="E2" t="s">
        <v>1052</v>
      </c>
      <c r="F2" s="4" t="s">
        <v>1053</v>
      </c>
      <c r="G2" t="s">
        <v>183</v>
      </c>
      <c r="H2" s="17" t="s">
        <v>1054</v>
      </c>
      <c r="I2" t="s">
        <v>225</v>
      </c>
      <c r="J2" t="s">
        <v>1055</v>
      </c>
      <c r="K2" t="s">
        <v>1056</v>
      </c>
      <c r="L2" t="s">
        <v>1057</v>
      </c>
      <c r="M2" t="s">
        <v>285</v>
      </c>
      <c r="N2" t="s">
        <v>235</v>
      </c>
      <c r="O2" s="4" t="s">
        <v>1058</v>
      </c>
      <c r="P2" t="s">
        <v>574</v>
      </c>
      <c r="Q2" t="s">
        <v>569</v>
      </c>
      <c r="R2" s="4" t="s">
        <v>1059</v>
      </c>
    </row>
    <row r="3" spans="1:18" ht="43.5" x14ac:dyDescent="0.35">
      <c r="A3" s="16" t="s">
        <v>1049</v>
      </c>
      <c r="B3" t="s">
        <v>1060</v>
      </c>
      <c r="C3">
        <v>2022</v>
      </c>
      <c r="D3" t="s">
        <v>1061</v>
      </c>
      <c r="E3" t="s">
        <v>1052</v>
      </c>
      <c r="F3" s="4" t="s">
        <v>1062</v>
      </c>
      <c r="G3" t="s">
        <v>183</v>
      </c>
      <c r="H3" s="17" t="s">
        <v>1063</v>
      </c>
      <c r="I3" t="s">
        <v>225</v>
      </c>
      <c r="J3" t="s">
        <v>1055</v>
      </c>
      <c r="K3" t="s">
        <v>1056</v>
      </c>
      <c r="L3" t="s">
        <v>1057</v>
      </c>
      <c r="M3" t="s">
        <v>285</v>
      </c>
      <c r="N3" t="s">
        <v>235</v>
      </c>
      <c r="O3" s="4" t="s">
        <v>1064</v>
      </c>
      <c r="P3" t="s">
        <v>574</v>
      </c>
      <c r="Q3" t="s">
        <v>569</v>
      </c>
      <c r="R3" s="4" t="s">
        <v>1065</v>
      </c>
    </row>
    <row r="4" spans="1:18" ht="43.5" x14ac:dyDescent="0.35">
      <c r="A4" s="16" t="s">
        <v>1049</v>
      </c>
      <c r="B4" t="s">
        <v>1066</v>
      </c>
      <c r="C4">
        <v>2022</v>
      </c>
      <c r="D4" t="s">
        <v>1067</v>
      </c>
      <c r="E4" t="s">
        <v>1068</v>
      </c>
      <c r="F4" s="4" t="s">
        <v>1069</v>
      </c>
      <c r="G4" t="s">
        <v>183</v>
      </c>
      <c r="H4" s="17" t="s">
        <v>1070</v>
      </c>
      <c r="I4" t="s">
        <v>226</v>
      </c>
      <c r="J4" t="s">
        <v>1055</v>
      </c>
      <c r="K4" t="s">
        <v>1056</v>
      </c>
      <c r="L4" t="s">
        <v>238</v>
      </c>
      <c r="M4" t="s">
        <v>275</v>
      </c>
      <c r="N4" t="s">
        <v>235</v>
      </c>
      <c r="O4" s="4" t="s">
        <v>1071</v>
      </c>
      <c r="P4" t="s">
        <v>574</v>
      </c>
      <c r="Q4" t="s">
        <v>569</v>
      </c>
      <c r="R4" s="4" t="s">
        <v>1072</v>
      </c>
    </row>
    <row r="5" spans="1:18" ht="43.5" x14ac:dyDescent="0.35">
      <c r="A5" s="16" t="s">
        <v>1049</v>
      </c>
      <c r="B5" t="s">
        <v>1073</v>
      </c>
      <c r="C5">
        <v>2023</v>
      </c>
      <c r="D5" t="s">
        <v>1074</v>
      </c>
      <c r="E5" t="s">
        <v>1075</v>
      </c>
      <c r="F5" s="4" t="s">
        <v>1076</v>
      </c>
      <c r="G5" t="s">
        <v>183</v>
      </c>
      <c r="H5" s="17" t="s">
        <v>1077</v>
      </c>
      <c r="I5" t="s">
        <v>226</v>
      </c>
      <c r="J5" t="s">
        <v>1055</v>
      </c>
      <c r="K5" t="s">
        <v>1056</v>
      </c>
      <c r="L5" t="s">
        <v>238</v>
      </c>
      <c r="M5" t="s">
        <v>275</v>
      </c>
      <c r="N5" t="s">
        <v>235</v>
      </c>
      <c r="O5" s="4" t="s">
        <v>1078</v>
      </c>
      <c r="P5" t="s">
        <v>574</v>
      </c>
      <c r="Q5" t="s">
        <v>569</v>
      </c>
      <c r="R5" s="4" t="s">
        <v>1079</v>
      </c>
    </row>
    <row r="6" spans="1:18" ht="29" x14ac:dyDescent="0.35">
      <c r="A6" s="16" t="s">
        <v>1049</v>
      </c>
      <c r="B6" t="s">
        <v>1080</v>
      </c>
      <c r="C6">
        <v>2022</v>
      </c>
      <c r="D6" t="s">
        <v>1081</v>
      </c>
      <c r="E6" t="s">
        <v>1082</v>
      </c>
      <c r="F6" s="4" t="s">
        <v>1083</v>
      </c>
      <c r="G6" t="s">
        <v>183</v>
      </c>
      <c r="H6" s="17" t="s">
        <v>1084</v>
      </c>
      <c r="I6" t="s">
        <v>225</v>
      </c>
      <c r="J6" t="s">
        <v>1055</v>
      </c>
      <c r="K6" t="s">
        <v>1056</v>
      </c>
      <c r="L6" t="s">
        <v>1057</v>
      </c>
      <c r="M6" t="s">
        <v>285</v>
      </c>
      <c r="N6" t="s">
        <v>235</v>
      </c>
      <c r="O6" s="4" t="s">
        <v>1085</v>
      </c>
      <c r="P6" t="s">
        <v>574</v>
      </c>
      <c r="Q6" t="s">
        <v>569</v>
      </c>
      <c r="R6" s="4" t="s">
        <v>1086</v>
      </c>
    </row>
    <row r="7" spans="1:18" ht="43.5" x14ac:dyDescent="0.35">
      <c r="A7" s="16" t="s">
        <v>1049</v>
      </c>
      <c r="B7" t="s">
        <v>1087</v>
      </c>
      <c r="C7">
        <v>2023</v>
      </c>
      <c r="D7" t="s">
        <v>1088</v>
      </c>
      <c r="E7" t="s">
        <v>1089</v>
      </c>
      <c r="F7" s="4" t="s">
        <v>1090</v>
      </c>
      <c r="G7" t="s">
        <v>183</v>
      </c>
      <c r="H7" s="17" t="s">
        <v>1091</v>
      </c>
      <c r="I7" t="s">
        <v>225</v>
      </c>
      <c r="J7" t="s">
        <v>1055</v>
      </c>
      <c r="K7" t="s">
        <v>1056</v>
      </c>
      <c r="L7" t="s">
        <v>1057</v>
      </c>
      <c r="M7" t="s">
        <v>285</v>
      </c>
      <c r="N7" t="s">
        <v>235</v>
      </c>
      <c r="O7" s="4" t="s">
        <v>1092</v>
      </c>
      <c r="P7" t="s">
        <v>574</v>
      </c>
      <c r="Q7" t="s">
        <v>569</v>
      </c>
      <c r="R7" s="4" t="s">
        <v>1093</v>
      </c>
    </row>
    <row r="8" spans="1:18" ht="29" x14ac:dyDescent="0.35">
      <c r="A8" s="16" t="s">
        <v>1049</v>
      </c>
      <c r="B8" t="s">
        <v>1094</v>
      </c>
      <c r="C8">
        <v>2023</v>
      </c>
      <c r="D8" t="s">
        <v>1095</v>
      </c>
      <c r="E8" t="s">
        <v>1089</v>
      </c>
      <c r="F8" s="4" t="s">
        <v>1096</v>
      </c>
      <c r="G8" t="s">
        <v>183</v>
      </c>
      <c r="H8" s="17" t="s">
        <v>1097</v>
      </c>
      <c r="I8" t="s">
        <v>227</v>
      </c>
      <c r="J8" t="s">
        <v>1055</v>
      </c>
      <c r="K8" t="s">
        <v>1056</v>
      </c>
      <c r="L8" t="s">
        <v>238</v>
      </c>
      <c r="M8" t="s">
        <v>275</v>
      </c>
      <c r="N8" t="s">
        <v>235</v>
      </c>
      <c r="O8" s="4" t="s">
        <v>1098</v>
      </c>
      <c r="P8" t="s">
        <v>574</v>
      </c>
      <c r="Q8" t="s">
        <v>569</v>
      </c>
      <c r="R8" s="4" t="s">
        <v>1099</v>
      </c>
    </row>
    <row r="9" spans="1:18" ht="29" x14ac:dyDescent="0.35">
      <c r="A9" s="16" t="s">
        <v>1049</v>
      </c>
      <c r="B9" t="s">
        <v>1100</v>
      </c>
      <c r="C9">
        <v>2023</v>
      </c>
      <c r="D9" t="s">
        <v>1101</v>
      </c>
      <c r="E9" t="s">
        <v>1102</v>
      </c>
      <c r="F9" s="4" t="s">
        <v>1103</v>
      </c>
      <c r="G9" t="s">
        <v>183</v>
      </c>
      <c r="H9" s="17" t="s">
        <v>1104</v>
      </c>
      <c r="I9" t="s">
        <v>227</v>
      </c>
      <c r="J9" t="s">
        <v>1055</v>
      </c>
      <c r="K9" t="s">
        <v>1056</v>
      </c>
      <c r="L9" t="s">
        <v>238</v>
      </c>
      <c r="M9" t="s">
        <v>275</v>
      </c>
      <c r="N9" t="s">
        <v>235</v>
      </c>
      <c r="O9" s="4" t="s">
        <v>1105</v>
      </c>
      <c r="P9" t="s">
        <v>574</v>
      </c>
      <c r="Q9" t="s">
        <v>569</v>
      </c>
      <c r="R9" s="4" t="s">
        <v>1106</v>
      </c>
    </row>
    <row r="10" spans="1:18" ht="29" x14ac:dyDescent="0.35">
      <c r="A10" s="16" t="s">
        <v>1049</v>
      </c>
      <c r="B10" t="s">
        <v>1107</v>
      </c>
      <c r="C10">
        <v>2022</v>
      </c>
      <c r="D10" t="s">
        <v>1108</v>
      </c>
      <c r="E10" t="s">
        <v>1068</v>
      </c>
      <c r="F10" s="4" t="s">
        <v>1109</v>
      </c>
      <c r="G10" t="s">
        <v>183</v>
      </c>
      <c r="H10" s="17" t="s">
        <v>1110</v>
      </c>
      <c r="I10" t="s">
        <v>227</v>
      </c>
      <c r="J10" t="s">
        <v>1055</v>
      </c>
      <c r="K10" t="s">
        <v>1056</v>
      </c>
      <c r="L10" t="s">
        <v>238</v>
      </c>
      <c r="M10" t="s">
        <v>272</v>
      </c>
      <c r="N10" t="s">
        <v>235</v>
      </c>
      <c r="O10" s="4" t="s">
        <v>1111</v>
      </c>
      <c r="P10" t="s">
        <v>574</v>
      </c>
      <c r="Q10" t="s">
        <v>569</v>
      </c>
      <c r="R10" s="4" t="s">
        <v>1112</v>
      </c>
    </row>
    <row r="11" spans="1:18" ht="29" x14ac:dyDescent="0.35">
      <c r="A11" s="16" t="s">
        <v>1049</v>
      </c>
      <c r="B11" t="s">
        <v>1113</v>
      </c>
      <c r="C11">
        <v>2023</v>
      </c>
      <c r="D11" t="s">
        <v>1114</v>
      </c>
      <c r="E11" t="s">
        <v>1115</v>
      </c>
      <c r="F11" s="4" t="s">
        <v>1116</v>
      </c>
      <c r="G11" t="s">
        <v>183</v>
      </c>
      <c r="H11" s="17" t="s">
        <v>1117</v>
      </c>
      <c r="I11" t="s">
        <v>227</v>
      </c>
      <c r="J11" t="s">
        <v>1055</v>
      </c>
      <c r="K11" t="s">
        <v>1056</v>
      </c>
      <c r="L11" t="s">
        <v>238</v>
      </c>
      <c r="M11" t="s">
        <v>275</v>
      </c>
      <c r="N11" t="s">
        <v>235</v>
      </c>
      <c r="O11" s="4" t="s">
        <v>1118</v>
      </c>
      <c r="P11" t="s">
        <v>574</v>
      </c>
      <c r="Q11" t="s">
        <v>569</v>
      </c>
      <c r="R11" s="4" t="s">
        <v>1119</v>
      </c>
    </row>
    <row r="12" spans="1:18" ht="29" x14ac:dyDescent="0.35">
      <c r="A12" s="16" t="s">
        <v>1049</v>
      </c>
      <c r="B12" t="s">
        <v>1120</v>
      </c>
      <c r="C12">
        <v>2023</v>
      </c>
      <c r="D12" t="s">
        <v>1121</v>
      </c>
      <c r="E12" t="s">
        <v>1115</v>
      </c>
      <c r="F12" s="4" t="s">
        <v>1122</v>
      </c>
      <c r="G12" t="s">
        <v>183</v>
      </c>
      <c r="H12" s="17" t="s">
        <v>1123</v>
      </c>
      <c r="I12" t="s">
        <v>227</v>
      </c>
      <c r="J12" t="s">
        <v>1055</v>
      </c>
      <c r="K12" t="s">
        <v>1056</v>
      </c>
      <c r="L12" t="s">
        <v>238</v>
      </c>
      <c r="M12" t="s">
        <v>275</v>
      </c>
      <c r="N12" t="s">
        <v>235</v>
      </c>
      <c r="O12" s="4" t="s">
        <v>1124</v>
      </c>
      <c r="P12" t="s">
        <v>574</v>
      </c>
      <c r="Q12" t="s">
        <v>569</v>
      </c>
      <c r="R12" s="4" t="s">
        <v>1125</v>
      </c>
    </row>
    <row r="13" spans="1:18" ht="43.5" x14ac:dyDescent="0.35">
      <c r="A13" s="16" t="s">
        <v>1049</v>
      </c>
      <c r="B13" t="s">
        <v>1555</v>
      </c>
      <c r="C13">
        <v>2022</v>
      </c>
      <c r="D13" t="s">
        <v>1556</v>
      </c>
      <c r="E13" t="s">
        <v>1557</v>
      </c>
      <c r="F13" s="4" t="s">
        <v>1558</v>
      </c>
      <c r="G13" t="s">
        <v>183</v>
      </c>
      <c r="H13" s="17" t="s">
        <v>1559</v>
      </c>
      <c r="I13" t="s">
        <v>225</v>
      </c>
      <c r="J13" t="s">
        <v>1055</v>
      </c>
      <c r="K13" t="s">
        <v>1056</v>
      </c>
      <c r="L13" t="s">
        <v>1057</v>
      </c>
      <c r="M13" t="s">
        <v>285</v>
      </c>
      <c r="N13" t="s">
        <v>235</v>
      </c>
      <c r="O13" s="4" t="s">
        <v>1560</v>
      </c>
      <c r="P13" t="s">
        <v>574</v>
      </c>
      <c r="Q13" t="s">
        <v>569</v>
      </c>
      <c r="R13" s="4" t="s">
        <v>1561</v>
      </c>
    </row>
    <row r="14" spans="1:18" ht="29" x14ac:dyDescent="0.35">
      <c r="A14" s="16" t="s">
        <v>1049</v>
      </c>
      <c r="B14" t="s">
        <v>1562</v>
      </c>
      <c r="C14">
        <v>2022</v>
      </c>
      <c r="D14" t="s">
        <v>1563</v>
      </c>
      <c r="E14" t="s">
        <v>1052</v>
      </c>
      <c r="F14" s="4" t="s">
        <v>1564</v>
      </c>
      <c r="G14" t="s">
        <v>183</v>
      </c>
      <c r="H14" s="17" t="s">
        <v>1565</v>
      </c>
      <c r="I14" t="s">
        <v>227</v>
      </c>
      <c r="J14" t="s">
        <v>1055</v>
      </c>
      <c r="K14" t="s">
        <v>1056</v>
      </c>
      <c r="L14" t="s">
        <v>238</v>
      </c>
      <c r="M14" t="s">
        <v>275</v>
      </c>
      <c r="N14" t="s">
        <v>235</v>
      </c>
      <c r="O14" s="4" t="s">
        <v>1566</v>
      </c>
      <c r="P14" t="s">
        <v>574</v>
      </c>
      <c r="Q14" t="s">
        <v>569</v>
      </c>
      <c r="R14" s="4" t="s">
        <v>1567</v>
      </c>
    </row>
    <row r="15" spans="1:18" ht="29" x14ac:dyDescent="0.35">
      <c r="A15" s="16" t="s">
        <v>1049</v>
      </c>
      <c r="B15" t="s">
        <v>1568</v>
      </c>
      <c r="C15">
        <v>2023</v>
      </c>
      <c r="D15" t="s">
        <v>1569</v>
      </c>
      <c r="E15" t="s">
        <v>1570</v>
      </c>
      <c r="F15" s="4" t="s">
        <v>1571</v>
      </c>
      <c r="G15" t="s">
        <v>183</v>
      </c>
      <c r="H15" s="17" t="s">
        <v>1572</v>
      </c>
      <c r="I15" t="s">
        <v>227</v>
      </c>
      <c r="J15" t="s">
        <v>1055</v>
      </c>
      <c r="K15" t="s">
        <v>1056</v>
      </c>
      <c r="L15" t="s">
        <v>238</v>
      </c>
      <c r="M15" t="s">
        <v>275</v>
      </c>
      <c r="N15" t="s">
        <v>235</v>
      </c>
      <c r="O15" s="4" t="s">
        <v>1573</v>
      </c>
      <c r="P15" t="s">
        <v>574</v>
      </c>
      <c r="Q15" t="s">
        <v>569</v>
      </c>
      <c r="R15" s="4" t="s">
        <v>1574</v>
      </c>
    </row>
    <row r="16" spans="1:18" ht="29" x14ac:dyDescent="0.35">
      <c r="A16" s="16" t="s">
        <v>1049</v>
      </c>
      <c r="B16" t="s">
        <v>1575</v>
      </c>
      <c r="C16">
        <v>2023</v>
      </c>
      <c r="D16" t="s">
        <v>1576</v>
      </c>
      <c r="E16" t="s">
        <v>1089</v>
      </c>
      <c r="F16" s="4" t="s">
        <v>1577</v>
      </c>
      <c r="G16" t="s">
        <v>183</v>
      </c>
      <c r="H16" s="17" t="s">
        <v>1578</v>
      </c>
      <c r="I16" t="s">
        <v>227</v>
      </c>
      <c r="J16" t="s">
        <v>1055</v>
      </c>
      <c r="K16" t="s">
        <v>1056</v>
      </c>
      <c r="L16" t="s">
        <v>238</v>
      </c>
      <c r="M16" t="s">
        <v>275</v>
      </c>
      <c r="N16" t="s">
        <v>235</v>
      </c>
      <c r="O16" s="4" t="s">
        <v>1579</v>
      </c>
      <c r="P16" t="s">
        <v>574</v>
      </c>
      <c r="Q16" t="s">
        <v>569</v>
      </c>
      <c r="R16" s="4" t="s">
        <v>1580</v>
      </c>
    </row>
    <row r="17" spans="1:18" ht="29" x14ac:dyDescent="0.35">
      <c r="A17" s="16" t="s">
        <v>1126</v>
      </c>
      <c r="B17" t="s">
        <v>1127</v>
      </c>
      <c r="C17">
        <v>2022</v>
      </c>
      <c r="D17" t="s">
        <v>1128</v>
      </c>
      <c r="E17" t="s">
        <v>1129</v>
      </c>
      <c r="F17" s="4" t="s">
        <v>1130</v>
      </c>
      <c r="G17" t="s">
        <v>183</v>
      </c>
      <c r="H17" s="17" t="s">
        <v>1131</v>
      </c>
      <c r="I17" t="s">
        <v>226</v>
      </c>
      <c r="J17" t="s">
        <v>273</v>
      </c>
      <c r="K17" t="s">
        <v>1132</v>
      </c>
      <c r="L17" t="s">
        <v>238</v>
      </c>
      <c r="M17" t="s">
        <v>275</v>
      </c>
      <c r="N17" t="s">
        <v>235</v>
      </c>
      <c r="O17" s="4" t="s">
        <v>1133</v>
      </c>
      <c r="P17" t="s">
        <v>568</v>
      </c>
      <c r="Q17" t="s">
        <v>569</v>
      </c>
      <c r="R17" s="4" t="s">
        <v>1134</v>
      </c>
    </row>
    <row r="18" spans="1:18" ht="29" x14ac:dyDescent="0.35">
      <c r="A18" s="16" t="s">
        <v>1126</v>
      </c>
      <c r="B18" t="s">
        <v>1127</v>
      </c>
      <c r="C18">
        <v>2023</v>
      </c>
      <c r="D18" t="s">
        <v>1135</v>
      </c>
      <c r="E18" t="s">
        <v>1115</v>
      </c>
      <c r="F18" s="4" t="s">
        <v>1136</v>
      </c>
      <c r="G18" t="s">
        <v>183</v>
      </c>
      <c r="H18" s="17" t="s">
        <v>1137</v>
      </c>
      <c r="I18" t="s">
        <v>226</v>
      </c>
      <c r="J18" t="s">
        <v>273</v>
      </c>
      <c r="K18" t="s">
        <v>1132</v>
      </c>
      <c r="L18" t="s">
        <v>238</v>
      </c>
      <c r="M18" t="s">
        <v>275</v>
      </c>
      <c r="N18" t="s">
        <v>235</v>
      </c>
      <c r="O18" s="4" t="s">
        <v>1138</v>
      </c>
      <c r="P18" t="s">
        <v>568</v>
      </c>
      <c r="Q18" t="s">
        <v>569</v>
      </c>
      <c r="R18" s="4" t="s">
        <v>1139</v>
      </c>
    </row>
    <row r="19" spans="1:18" ht="29" x14ac:dyDescent="0.35">
      <c r="A19" s="16" t="s">
        <v>1126</v>
      </c>
      <c r="B19" t="s">
        <v>1140</v>
      </c>
      <c r="C19">
        <v>2024</v>
      </c>
      <c r="D19" t="s">
        <v>1141</v>
      </c>
      <c r="E19" t="s">
        <v>1142</v>
      </c>
      <c r="F19" s="4" t="s">
        <v>1143</v>
      </c>
      <c r="G19" t="s">
        <v>183</v>
      </c>
      <c r="H19" s="17" t="s">
        <v>1144</v>
      </c>
      <c r="I19" t="s">
        <v>225</v>
      </c>
      <c r="J19" t="s">
        <v>1145</v>
      </c>
      <c r="K19" t="s">
        <v>1132</v>
      </c>
      <c r="L19" t="s">
        <v>1057</v>
      </c>
      <c r="M19" t="s">
        <v>285</v>
      </c>
      <c r="N19" t="s">
        <v>235</v>
      </c>
      <c r="O19" s="4" t="s">
        <v>1146</v>
      </c>
      <c r="P19" t="s">
        <v>568</v>
      </c>
      <c r="Q19" t="s">
        <v>569</v>
      </c>
      <c r="R19" s="4" t="s">
        <v>1147</v>
      </c>
    </row>
    <row r="20" spans="1:18" ht="29" x14ac:dyDescent="0.35">
      <c r="A20" s="16" t="s">
        <v>1126</v>
      </c>
      <c r="B20" t="s">
        <v>1148</v>
      </c>
      <c r="C20">
        <v>2024</v>
      </c>
      <c r="D20" t="s">
        <v>1149</v>
      </c>
      <c r="E20" t="s">
        <v>1150</v>
      </c>
      <c r="F20" s="4" t="s">
        <v>1151</v>
      </c>
      <c r="G20" t="s">
        <v>183</v>
      </c>
      <c r="H20" s="17" t="s">
        <v>1152</v>
      </c>
      <c r="I20" t="s">
        <v>226</v>
      </c>
      <c r="J20" t="s">
        <v>273</v>
      </c>
      <c r="K20" t="s">
        <v>1132</v>
      </c>
      <c r="L20" t="s">
        <v>238</v>
      </c>
      <c r="M20" t="s">
        <v>275</v>
      </c>
      <c r="N20" t="s">
        <v>235</v>
      </c>
      <c r="O20" s="4" t="s">
        <v>1153</v>
      </c>
      <c r="P20" t="s">
        <v>568</v>
      </c>
      <c r="Q20" t="s">
        <v>569</v>
      </c>
      <c r="R20" s="4" t="s">
        <v>1154</v>
      </c>
    </row>
    <row r="21" spans="1:18" ht="29" x14ac:dyDescent="0.35">
      <c r="A21" s="16" t="s">
        <v>1126</v>
      </c>
      <c r="B21" t="s">
        <v>1155</v>
      </c>
      <c r="C21">
        <v>2022</v>
      </c>
      <c r="D21" t="s">
        <v>1156</v>
      </c>
      <c r="E21" t="s">
        <v>1157</v>
      </c>
      <c r="F21" s="4" t="s">
        <v>1158</v>
      </c>
      <c r="G21" t="s">
        <v>183</v>
      </c>
      <c r="H21" s="17" t="s">
        <v>1159</v>
      </c>
      <c r="I21" t="s">
        <v>226</v>
      </c>
      <c r="J21" t="s">
        <v>273</v>
      </c>
      <c r="K21" t="s">
        <v>1132</v>
      </c>
      <c r="L21" t="s">
        <v>238</v>
      </c>
      <c r="M21" t="s">
        <v>275</v>
      </c>
      <c r="N21" t="s">
        <v>235</v>
      </c>
      <c r="O21" s="4" t="s">
        <v>1160</v>
      </c>
      <c r="P21" t="s">
        <v>568</v>
      </c>
      <c r="Q21" t="s">
        <v>569</v>
      </c>
      <c r="R21" s="4" t="s">
        <v>1161</v>
      </c>
    </row>
    <row r="22" spans="1:18" ht="29" x14ac:dyDescent="0.35">
      <c r="A22" s="16" t="s">
        <v>1126</v>
      </c>
      <c r="B22" t="s">
        <v>1162</v>
      </c>
      <c r="C22">
        <v>2024</v>
      </c>
      <c r="D22" t="s">
        <v>1163</v>
      </c>
      <c r="E22" t="s">
        <v>1164</v>
      </c>
      <c r="F22" s="4" t="s">
        <v>1165</v>
      </c>
      <c r="G22" t="s">
        <v>183</v>
      </c>
      <c r="H22" s="17" t="s">
        <v>1166</v>
      </c>
      <c r="I22" t="s">
        <v>226</v>
      </c>
      <c r="J22" t="s">
        <v>273</v>
      </c>
      <c r="K22" t="s">
        <v>1132</v>
      </c>
      <c r="L22" t="s">
        <v>238</v>
      </c>
      <c r="M22" t="s">
        <v>275</v>
      </c>
      <c r="N22" t="s">
        <v>235</v>
      </c>
      <c r="O22" s="4" t="s">
        <v>1167</v>
      </c>
      <c r="P22" t="s">
        <v>568</v>
      </c>
      <c r="Q22" t="s">
        <v>569</v>
      </c>
      <c r="R22" s="4" t="s">
        <v>1168</v>
      </c>
    </row>
    <row r="23" spans="1:18" ht="29" x14ac:dyDescent="0.35">
      <c r="A23" s="16" t="s">
        <v>1126</v>
      </c>
      <c r="B23" t="s">
        <v>1169</v>
      </c>
      <c r="C23">
        <v>2023</v>
      </c>
      <c r="D23" t="s">
        <v>1170</v>
      </c>
      <c r="E23" t="s">
        <v>1171</v>
      </c>
      <c r="F23" s="4" t="s">
        <v>1172</v>
      </c>
      <c r="G23" t="s">
        <v>183</v>
      </c>
      <c r="H23" s="17" t="s">
        <v>1173</v>
      </c>
      <c r="I23" t="s">
        <v>226</v>
      </c>
      <c r="J23" t="s">
        <v>1145</v>
      </c>
      <c r="K23" t="s">
        <v>1132</v>
      </c>
      <c r="L23" t="s">
        <v>238</v>
      </c>
      <c r="M23" t="s">
        <v>275</v>
      </c>
      <c r="N23" t="s">
        <v>235</v>
      </c>
      <c r="O23" s="4" t="s">
        <v>1174</v>
      </c>
      <c r="P23" t="s">
        <v>568</v>
      </c>
      <c r="Q23" t="s">
        <v>569</v>
      </c>
      <c r="R23" s="4" t="s">
        <v>1175</v>
      </c>
    </row>
    <row r="24" spans="1:18" ht="29" x14ac:dyDescent="0.35">
      <c r="A24" s="16" t="s">
        <v>1126</v>
      </c>
      <c r="B24" t="s">
        <v>1176</v>
      </c>
      <c r="C24">
        <v>2021</v>
      </c>
      <c r="D24" t="s">
        <v>1177</v>
      </c>
      <c r="E24" t="s">
        <v>1178</v>
      </c>
      <c r="F24" s="4" t="s">
        <v>1179</v>
      </c>
      <c r="G24" t="s">
        <v>183</v>
      </c>
      <c r="H24" s="17" t="s">
        <v>1180</v>
      </c>
      <c r="I24" t="s">
        <v>227</v>
      </c>
      <c r="J24" t="s">
        <v>277</v>
      </c>
      <c r="K24" t="s">
        <v>1181</v>
      </c>
      <c r="L24" t="s">
        <v>238</v>
      </c>
      <c r="M24" t="s">
        <v>272</v>
      </c>
      <c r="N24" t="s">
        <v>235</v>
      </c>
      <c r="O24" s="4" t="s">
        <v>1182</v>
      </c>
      <c r="P24" t="s">
        <v>568</v>
      </c>
      <c r="Q24" t="s">
        <v>569</v>
      </c>
      <c r="R24" s="4" t="s">
        <v>1183</v>
      </c>
    </row>
    <row r="25" spans="1:18" ht="29" x14ac:dyDescent="0.35">
      <c r="A25" s="16" t="s">
        <v>1126</v>
      </c>
      <c r="B25" t="s">
        <v>1581</v>
      </c>
      <c r="C25">
        <v>2022</v>
      </c>
      <c r="D25" t="s">
        <v>1582</v>
      </c>
      <c r="E25" t="s">
        <v>1075</v>
      </c>
      <c r="F25" s="4" t="s">
        <v>1583</v>
      </c>
      <c r="G25" t="s">
        <v>183</v>
      </c>
      <c r="H25" s="17" t="s">
        <v>1584</v>
      </c>
      <c r="I25" t="s">
        <v>227</v>
      </c>
      <c r="J25" t="s">
        <v>273</v>
      </c>
      <c r="K25" t="s">
        <v>1132</v>
      </c>
      <c r="L25" t="s">
        <v>238</v>
      </c>
      <c r="M25" t="s">
        <v>275</v>
      </c>
      <c r="N25" t="s">
        <v>235</v>
      </c>
      <c r="O25" s="4" t="s">
        <v>1585</v>
      </c>
      <c r="P25" t="s">
        <v>568</v>
      </c>
      <c r="Q25" t="s">
        <v>569</v>
      </c>
      <c r="R25" s="4" t="s">
        <v>1586</v>
      </c>
    </row>
    <row r="26" spans="1:18" ht="29" x14ac:dyDescent="0.35">
      <c r="A26" s="16" t="s">
        <v>1126</v>
      </c>
      <c r="B26" t="s">
        <v>1587</v>
      </c>
      <c r="C26">
        <v>2022</v>
      </c>
      <c r="D26" t="s">
        <v>1588</v>
      </c>
      <c r="E26" t="s">
        <v>1052</v>
      </c>
      <c r="F26" s="4" t="s">
        <v>1589</v>
      </c>
      <c r="G26" t="s">
        <v>183</v>
      </c>
      <c r="H26" s="17" t="s">
        <v>1590</v>
      </c>
      <c r="I26" t="s">
        <v>227</v>
      </c>
      <c r="J26" t="s">
        <v>273</v>
      </c>
      <c r="K26" t="s">
        <v>1132</v>
      </c>
      <c r="L26" t="s">
        <v>238</v>
      </c>
      <c r="M26" t="s">
        <v>275</v>
      </c>
      <c r="N26" t="s">
        <v>235</v>
      </c>
      <c r="O26" s="4" t="s">
        <v>1591</v>
      </c>
      <c r="P26" t="s">
        <v>568</v>
      </c>
      <c r="Q26" t="s">
        <v>569</v>
      </c>
      <c r="R26" s="4" t="s">
        <v>1592</v>
      </c>
    </row>
    <row r="27" spans="1:18" ht="29" x14ac:dyDescent="0.35">
      <c r="A27" s="16" t="s">
        <v>1126</v>
      </c>
      <c r="B27" t="s">
        <v>1587</v>
      </c>
      <c r="C27">
        <v>2021</v>
      </c>
      <c r="D27" t="s">
        <v>1593</v>
      </c>
      <c r="E27" t="s">
        <v>1303</v>
      </c>
      <c r="F27" s="4" t="s">
        <v>1594</v>
      </c>
      <c r="G27" t="s">
        <v>183</v>
      </c>
      <c r="H27" s="17" t="s">
        <v>1595</v>
      </c>
      <c r="I27" t="s">
        <v>227</v>
      </c>
      <c r="J27" t="s">
        <v>277</v>
      </c>
      <c r="K27" t="s">
        <v>1132</v>
      </c>
      <c r="L27" t="s">
        <v>238</v>
      </c>
      <c r="M27" t="s">
        <v>272</v>
      </c>
      <c r="N27" t="s">
        <v>235</v>
      </c>
      <c r="O27" s="4" t="s">
        <v>1596</v>
      </c>
      <c r="P27" t="s">
        <v>568</v>
      </c>
      <c r="Q27" t="s">
        <v>569</v>
      </c>
      <c r="R27" s="4" t="s">
        <v>1597</v>
      </c>
    </row>
    <row r="28" spans="1:18" ht="29" x14ac:dyDescent="0.35">
      <c r="A28" s="16" t="s">
        <v>1126</v>
      </c>
      <c r="B28" t="s">
        <v>1598</v>
      </c>
      <c r="C28">
        <v>2023</v>
      </c>
      <c r="D28" t="s">
        <v>1599</v>
      </c>
      <c r="E28" t="s">
        <v>1600</v>
      </c>
      <c r="F28" s="4" t="s">
        <v>1601</v>
      </c>
      <c r="G28" t="s">
        <v>183</v>
      </c>
      <c r="H28" s="17" t="s">
        <v>1602</v>
      </c>
      <c r="I28" t="s">
        <v>227</v>
      </c>
      <c r="J28" t="s">
        <v>273</v>
      </c>
      <c r="K28" t="s">
        <v>1132</v>
      </c>
      <c r="L28" t="s">
        <v>238</v>
      </c>
      <c r="M28" t="s">
        <v>275</v>
      </c>
      <c r="N28" t="s">
        <v>235</v>
      </c>
      <c r="O28" s="4" t="s">
        <v>1603</v>
      </c>
      <c r="P28" t="s">
        <v>568</v>
      </c>
      <c r="Q28" t="s">
        <v>569</v>
      </c>
      <c r="R28" s="4" t="s">
        <v>1604</v>
      </c>
    </row>
    <row r="29" spans="1:18" ht="43.5" x14ac:dyDescent="0.35">
      <c r="A29" s="16" t="s">
        <v>1184</v>
      </c>
      <c r="B29" t="s">
        <v>1185</v>
      </c>
      <c r="C29">
        <v>2017</v>
      </c>
      <c r="D29" t="s">
        <v>1186</v>
      </c>
      <c r="E29" t="s">
        <v>1187</v>
      </c>
      <c r="F29" s="4" t="s">
        <v>1188</v>
      </c>
      <c r="G29" t="s">
        <v>183</v>
      </c>
      <c r="H29" s="17" t="s">
        <v>1189</v>
      </c>
      <c r="I29" t="s">
        <v>225</v>
      </c>
      <c r="J29" t="s">
        <v>1190</v>
      </c>
      <c r="K29" t="s">
        <v>1191</v>
      </c>
      <c r="L29" t="s">
        <v>1057</v>
      </c>
      <c r="M29" t="s">
        <v>285</v>
      </c>
      <c r="N29" t="s">
        <v>231</v>
      </c>
      <c r="O29" s="4" t="s">
        <v>1192</v>
      </c>
      <c r="P29" t="s">
        <v>579</v>
      </c>
      <c r="Q29" t="s">
        <v>569</v>
      </c>
      <c r="R29" s="4" t="s">
        <v>1193</v>
      </c>
    </row>
    <row r="30" spans="1:18" ht="29" x14ac:dyDescent="0.35">
      <c r="A30" s="16" t="s">
        <v>1184</v>
      </c>
      <c r="B30" t="s">
        <v>1194</v>
      </c>
      <c r="C30">
        <v>2018</v>
      </c>
      <c r="D30" t="s">
        <v>1195</v>
      </c>
      <c r="E30" t="s">
        <v>1196</v>
      </c>
      <c r="F30" s="4" t="s">
        <v>1197</v>
      </c>
      <c r="G30" t="s">
        <v>183</v>
      </c>
      <c r="H30" s="17" t="s">
        <v>1198</v>
      </c>
      <c r="I30" t="s">
        <v>227</v>
      </c>
      <c r="J30" t="s">
        <v>1190</v>
      </c>
      <c r="K30" t="s">
        <v>1191</v>
      </c>
      <c r="L30" t="s">
        <v>238</v>
      </c>
      <c r="M30" t="s">
        <v>275</v>
      </c>
      <c r="N30" t="s">
        <v>231</v>
      </c>
      <c r="O30" s="4" t="s">
        <v>1199</v>
      </c>
      <c r="P30" t="s">
        <v>579</v>
      </c>
      <c r="Q30" t="s">
        <v>569</v>
      </c>
      <c r="R30" s="4" t="s">
        <v>1200</v>
      </c>
    </row>
    <row r="31" spans="1:18" ht="29" x14ac:dyDescent="0.35">
      <c r="A31" s="16" t="s">
        <v>1184</v>
      </c>
      <c r="B31" t="s">
        <v>1201</v>
      </c>
      <c r="C31">
        <v>2016</v>
      </c>
      <c r="D31" t="s">
        <v>1202</v>
      </c>
      <c r="E31" t="s">
        <v>1203</v>
      </c>
      <c r="F31" s="4" t="s">
        <v>1204</v>
      </c>
      <c r="G31" t="s">
        <v>183</v>
      </c>
      <c r="H31" s="17" t="s">
        <v>1205</v>
      </c>
      <c r="I31" t="s">
        <v>226</v>
      </c>
      <c r="J31" t="s">
        <v>1190</v>
      </c>
      <c r="K31" t="s">
        <v>1191</v>
      </c>
      <c r="L31" t="s">
        <v>1057</v>
      </c>
      <c r="M31" t="s">
        <v>285</v>
      </c>
      <c r="N31" t="s">
        <v>231</v>
      </c>
      <c r="O31" s="4" t="s">
        <v>1206</v>
      </c>
      <c r="P31" t="s">
        <v>579</v>
      </c>
      <c r="Q31" t="s">
        <v>569</v>
      </c>
      <c r="R31" s="18" t="s">
        <v>1207</v>
      </c>
    </row>
    <row r="32" spans="1:18" ht="29" x14ac:dyDescent="0.35">
      <c r="A32" s="16" t="s">
        <v>1184</v>
      </c>
      <c r="B32" t="s">
        <v>1208</v>
      </c>
      <c r="C32">
        <v>2016</v>
      </c>
      <c r="D32" t="s">
        <v>1209</v>
      </c>
      <c r="E32" t="s">
        <v>1210</v>
      </c>
      <c r="F32" s="4" t="s">
        <v>1211</v>
      </c>
      <c r="G32" t="s">
        <v>183</v>
      </c>
      <c r="H32" s="17" t="s">
        <v>1212</v>
      </c>
      <c r="I32" t="s">
        <v>227</v>
      </c>
      <c r="J32" t="s">
        <v>1190</v>
      </c>
      <c r="K32" t="s">
        <v>1191</v>
      </c>
      <c r="L32" t="s">
        <v>238</v>
      </c>
      <c r="M32" t="s">
        <v>275</v>
      </c>
      <c r="N32" t="s">
        <v>231</v>
      </c>
      <c r="O32" s="4" t="s">
        <v>1213</v>
      </c>
      <c r="P32" t="s">
        <v>579</v>
      </c>
      <c r="Q32" t="s">
        <v>569</v>
      </c>
      <c r="R32" s="4" t="s">
        <v>1214</v>
      </c>
    </row>
    <row r="33" spans="1:18" ht="29" x14ac:dyDescent="0.35">
      <c r="A33" s="16" t="s">
        <v>1184</v>
      </c>
      <c r="B33" t="s">
        <v>1215</v>
      </c>
      <c r="C33">
        <v>2019</v>
      </c>
      <c r="D33" t="s">
        <v>1216</v>
      </c>
      <c r="E33" t="s">
        <v>1217</v>
      </c>
      <c r="F33" s="4" t="s">
        <v>1218</v>
      </c>
      <c r="G33" t="s">
        <v>183</v>
      </c>
      <c r="H33" s="17" t="s">
        <v>1219</v>
      </c>
      <c r="I33" t="s">
        <v>227</v>
      </c>
      <c r="J33" t="s">
        <v>1220</v>
      </c>
      <c r="K33" t="s">
        <v>1191</v>
      </c>
      <c r="L33" t="s">
        <v>238</v>
      </c>
      <c r="M33" t="s">
        <v>275</v>
      </c>
      <c r="N33" t="s">
        <v>235</v>
      </c>
      <c r="O33" s="4" t="s">
        <v>1221</v>
      </c>
      <c r="P33" t="s">
        <v>579</v>
      </c>
      <c r="Q33" t="s">
        <v>569</v>
      </c>
      <c r="R33" s="4" t="s">
        <v>1222</v>
      </c>
    </row>
    <row r="34" spans="1:18" ht="29" x14ac:dyDescent="0.35">
      <c r="A34" s="16" t="s">
        <v>1184</v>
      </c>
      <c r="B34" t="s">
        <v>1223</v>
      </c>
      <c r="C34">
        <v>2017</v>
      </c>
      <c r="D34" t="s">
        <v>1224</v>
      </c>
      <c r="E34" t="s">
        <v>1225</v>
      </c>
      <c r="F34" s="4" t="s">
        <v>1226</v>
      </c>
      <c r="G34" t="s">
        <v>183</v>
      </c>
      <c r="H34" s="17" t="s">
        <v>1227</v>
      </c>
      <c r="I34" t="s">
        <v>227</v>
      </c>
      <c r="J34" t="s">
        <v>1190</v>
      </c>
      <c r="K34" t="s">
        <v>1191</v>
      </c>
      <c r="L34" t="s">
        <v>238</v>
      </c>
      <c r="M34" t="s">
        <v>272</v>
      </c>
      <c r="N34" t="s">
        <v>231</v>
      </c>
      <c r="O34" s="4" t="s">
        <v>1228</v>
      </c>
      <c r="P34" t="s">
        <v>579</v>
      </c>
      <c r="Q34" t="s">
        <v>569</v>
      </c>
      <c r="R34" s="4" t="s">
        <v>1229</v>
      </c>
    </row>
    <row r="35" spans="1:18" ht="43.5" x14ac:dyDescent="0.35">
      <c r="A35" s="16" t="s">
        <v>1184</v>
      </c>
      <c r="B35" t="s">
        <v>1605</v>
      </c>
      <c r="C35">
        <v>2019</v>
      </c>
      <c r="D35" t="s">
        <v>1606</v>
      </c>
      <c r="E35" t="s">
        <v>1393</v>
      </c>
      <c r="F35" s="4" t="s">
        <v>1607</v>
      </c>
      <c r="G35" t="s">
        <v>183</v>
      </c>
      <c r="H35" s="17" t="s">
        <v>1608</v>
      </c>
      <c r="I35" t="s">
        <v>226</v>
      </c>
      <c r="J35" t="s">
        <v>1190</v>
      </c>
      <c r="K35" t="s">
        <v>1191</v>
      </c>
      <c r="L35" t="s">
        <v>1057</v>
      </c>
      <c r="M35" t="s">
        <v>285</v>
      </c>
      <c r="N35" t="s">
        <v>235</v>
      </c>
      <c r="O35" s="4" t="s">
        <v>1609</v>
      </c>
      <c r="P35" t="s">
        <v>579</v>
      </c>
      <c r="Q35" t="s">
        <v>569</v>
      </c>
      <c r="R35" s="4" t="s">
        <v>1610</v>
      </c>
    </row>
    <row r="36" spans="1:18" ht="29" x14ac:dyDescent="0.35">
      <c r="A36" s="16" t="s">
        <v>1184</v>
      </c>
      <c r="B36" t="s">
        <v>1611</v>
      </c>
      <c r="C36">
        <v>2020</v>
      </c>
      <c r="D36" t="s">
        <v>1612</v>
      </c>
      <c r="E36" t="s">
        <v>1613</v>
      </c>
      <c r="F36" s="4" t="s">
        <v>1614</v>
      </c>
      <c r="G36" t="s">
        <v>183</v>
      </c>
      <c r="H36" s="17" t="s">
        <v>1615</v>
      </c>
      <c r="I36" t="s">
        <v>226</v>
      </c>
      <c r="J36" t="s">
        <v>1190</v>
      </c>
      <c r="K36" t="s">
        <v>1191</v>
      </c>
      <c r="L36" t="s">
        <v>1057</v>
      </c>
      <c r="M36" t="s">
        <v>285</v>
      </c>
      <c r="N36" t="s">
        <v>231</v>
      </c>
      <c r="O36" s="4" t="s">
        <v>1616</v>
      </c>
      <c r="P36" t="s">
        <v>579</v>
      </c>
      <c r="Q36" t="s">
        <v>569</v>
      </c>
      <c r="R36" s="4" t="s">
        <v>1617</v>
      </c>
    </row>
    <row r="37" spans="1:18" ht="29" x14ac:dyDescent="0.35">
      <c r="A37" s="16" t="s">
        <v>1184</v>
      </c>
      <c r="B37" t="s">
        <v>1618</v>
      </c>
      <c r="C37">
        <v>2021</v>
      </c>
      <c r="D37" t="s">
        <v>1619</v>
      </c>
      <c r="E37" t="s">
        <v>1620</v>
      </c>
      <c r="F37" s="4" t="s">
        <v>1621</v>
      </c>
      <c r="G37" t="s">
        <v>183</v>
      </c>
      <c r="H37" s="17" t="s">
        <v>1622</v>
      </c>
      <c r="I37" t="s">
        <v>227</v>
      </c>
      <c r="J37" t="s">
        <v>1190</v>
      </c>
      <c r="K37" t="s">
        <v>1191</v>
      </c>
      <c r="L37" t="s">
        <v>238</v>
      </c>
      <c r="M37" t="s">
        <v>275</v>
      </c>
      <c r="N37" t="s">
        <v>233</v>
      </c>
      <c r="O37" s="4" t="s">
        <v>1623</v>
      </c>
      <c r="P37" t="s">
        <v>579</v>
      </c>
      <c r="Q37" t="s">
        <v>569</v>
      </c>
      <c r="R37" s="4" t="s">
        <v>1624</v>
      </c>
    </row>
    <row r="38" spans="1:18" ht="29" x14ac:dyDescent="0.35">
      <c r="A38" s="16" t="s">
        <v>1230</v>
      </c>
      <c r="B38" t="s">
        <v>1231</v>
      </c>
      <c r="C38">
        <v>2017</v>
      </c>
      <c r="D38" t="s">
        <v>1232</v>
      </c>
      <c r="E38" t="s">
        <v>1233</v>
      </c>
      <c r="F38" s="4" t="s">
        <v>1234</v>
      </c>
      <c r="G38" t="s">
        <v>183</v>
      </c>
      <c r="H38" s="17" t="s">
        <v>1235</v>
      </c>
      <c r="I38" t="s">
        <v>226</v>
      </c>
      <c r="J38" t="s">
        <v>1236</v>
      </c>
      <c r="K38" t="s">
        <v>1237</v>
      </c>
      <c r="L38" t="s">
        <v>238</v>
      </c>
      <c r="M38" t="s">
        <v>272</v>
      </c>
      <c r="N38" t="s">
        <v>231</v>
      </c>
      <c r="O38" s="4" t="s">
        <v>1238</v>
      </c>
      <c r="P38" t="s">
        <v>573</v>
      </c>
      <c r="Q38" t="s">
        <v>569</v>
      </c>
      <c r="R38" s="4" t="s">
        <v>1239</v>
      </c>
    </row>
    <row r="39" spans="1:18" ht="29" x14ac:dyDescent="0.35">
      <c r="A39" s="16" t="s">
        <v>1230</v>
      </c>
      <c r="B39" t="s">
        <v>1240</v>
      </c>
      <c r="C39">
        <v>2018</v>
      </c>
      <c r="D39" t="s">
        <v>1241</v>
      </c>
      <c r="E39" t="s">
        <v>1242</v>
      </c>
      <c r="F39" s="4" t="s">
        <v>1243</v>
      </c>
      <c r="G39" t="s">
        <v>183</v>
      </c>
      <c r="H39" s="17" t="s">
        <v>1244</v>
      </c>
      <c r="I39" t="s">
        <v>226</v>
      </c>
      <c r="J39" t="s">
        <v>1236</v>
      </c>
      <c r="K39" t="s">
        <v>1237</v>
      </c>
      <c r="L39" t="s">
        <v>1057</v>
      </c>
      <c r="M39" t="s">
        <v>275</v>
      </c>
      <c r="N39" t="s">
        <v>231</v>
      </c>
      <c r="O39" s="4" t="s">
        <v>1245</v>
      </c>
      <c r="P39" t="s">
        <v>573</v>
      </c>
      <c r="Q39" t="s">
        <v>569</v>
      </c>
      <c r="R39" s="4" t="s">
        <v>1246</v>
      </c>
    </row>
    <row r="40" spans="1:18" ht="29" x14ac:dyDescent="0.35">
      <c r="A40" s="16" t="s">
        <v>1230</v>
      </c>
      <c r="B40" t="s">
        <v>1247</v>
      </c>
      <c r="C40">
        <v>2018</v>
      </c>
      <c r="D40" t="s">
        <v>1248</v>
      </c>
      <c r="E40" t="s">
        <v>1242</v>
      </c>
      <c r="F40" s="4" t="s">
        <v>1249</v>
      </c>
      <c r="G40" t="s">
        <v>183</v>
      </c>
      <c r="H40" s="17" t="s">
        <v>1250</v>
      </c>
      <c r="I40" t="s">
        <v>227</v>
      </c>
      <c r="J40" t="s">
        <v>1236</v>
      </c>
      <c r="K40" t="s">
        <v>1237</v>
      </c>
      <c r="L40" t="s">
        <v>238</v>
      </c>
      <c r="M40" t="s">
        <v>272</v>
      </c>
      <c r="N40" t="s">
        <v>231</v>
      </c>
      <c r="O40" s="4" t="s">
        <v>1251</v>
      </c>
      <c r="P40" t="s">
        <v>573</v>
      </c>
      <c r="Q40" t="s">
        <v>569</v>
      </c>
      <c r="R40" s="4" t="s">
        <v>1252</v>
      </c>
    </row>
    <row r="41" spans="1:18" ht="29" x14ac:dyDescent="0.35">
      <c r="A41" s="16" t="s">
        <v>1230</v>
      </c>
      <c r="B41" t="s">
        <v>1253</v>
      </c>
      <c r="C41">
        <v>2016</v>
      </c>
      <c r="D41" t="s">
        <v>1254</v>
      </c>
      <c r="E41" t="s">
        <v>1210</v>
      </c>
      <c r="F41" s="4" t="s">
        <v>1255</v>
      </c>
      <c r="G41" t="s">
        <v>183</v>
      </c>
      <c r="H41" s="17" t="s">
        <v>1256</v>
      </c>
      <c r="I41" t="s">
        <v>225</v>
      </c>
      <c r="J41" t="s">
        <v>1257</v>
      </c>
      <c r="K41" t="s">
        <v>1237</v>
      </c>
      <c r="L41" t="s">
        <v>1057</v>
      </c>
      <c r="M41" t="s">
        <v>285</v>
      </c>
      <c r="N41" t="s">
        <v>231</v>
      </c>
      <c r="O41" s="4" t="s">
        <v>1258</v>
      </c>
      <c r="P41" t="s">
        <v>573</v>
      </c>
      <c r="Q41" t="s">
        <v>569</v>
      </c>
      <c r="R41" s="4" t="s">
        <v>1259</v>
      </c>
    </row>
    <row r="42" spans="1:18" ht="29" x14ac:dyDescent="0.35">
      <c r="A42" s="16" t="s">
        <v>1230</v>
      </c>
      <c r="B42" t="s">
        <v>1260</v>
      </c>
      <c r="C42">
        <v>2018</v>
      </c>
      <c r="D42" t="s">
        <v>1261</v>
      </c>
      <c r="E42" t="s">
        <v>1262</v>
      </c>
      <c r="F42" s="4" t="s">
        <v>1263</v>
      </c>
      <c r="G42" t="s">
        <v>183</v>
      </c>
      <c r="H42" s="17" t="s">
        <v>1264</v>
      </c>
      <c r="I42" t="s">
        <v>227</v>
      </c>
      <c r="J42" t="s">
        <v>1236</v>
      </c>
      <c r="K42" t="s">
        <v>1237</v>
      </c>
      <c r="L42" t="s">
        <v>238</v>
      </c>
      <c r="M42" t="s">
        <v>275</v>
      </c>
      <c r="N42" t="s">
        <v>235</v>
      </c>
      <c r="O42" s="4" t="s">
        <v>1265</v>
      </c>
      <c r="P42" t="s">
        <v>573</v>
      </c>
      <c r="Q42" t="s">
        <v>569</v>
      </c>
      <c r="R42" s="4" t="s">
        <v>1266</v>
      </c>
    </row>
    <row r="43" spans="1:18" ht="29" x14ac:dyDescent="0.35">
      <c r="A43" s="16" t="s">
        <v>1230</v>
      </c>
      <c r="B43" t="s">
        <v>1267</v>
      </c>
      <c r="C43">
        <v>2023</v>
      </c>
      <c r="D43" t="s">
        <v>1268</v>
      </c>
      <c r="E43" t="s">
        <v>1269</v>
      </c>
      <c r="F43" s="4" t="s">
        <v>1270</v>
      </c>
      <c r="G43" t="s">
        <v>183</v>
      </c>
      <c r="H43" s="17" t="s">
        <v>1271</v>
      </c>
      <c r="I43" t="s">
        <v>226</v>
      </c>
      <c r="J43" t="s">
        <v>1236</v>
      </c>
      <c r="K43" t="s">
        <v>1237</v>
      </c>
      <c r="L43" t="s">
        <v>238</v>
      </c>
      <c r="M43" t="s">
        <v>275</v>
      </c>
      <c r="N43" t="s">
        <v>235</v>
      </c>
      <c r="O43" s="4" t="s">
        <v>1272</v>
      </c>
      <c r="P43" t="s">
        <v>573</v>
      </c>
      <c r="Q43" t="s">
        <v>569</v>
      </c>
      <c r="R43" s="4" t="s">
        <v>1273</v>
      </c>
    </row>
    <row r="44" spans="1:18" ht="29" x14ac:dyDescent="0.35">
      <c r="A44" s="16" t="s">
        <v>1230</v>
      </c>
      <c r="B44" t="s">
        <v>1625</v>
      </c>
      <c r="C44">
        <v>2015</v>
      </c>
      <c r="D44" t="s">
        <v>1626</v>
      </c>
      <c r="E44" t="s">
        <v>1627</v>
      </c>
      <c r="F44" s="4" t="s">
        <v>1628</v>
      </c>
      <c r="G44" t="s">
        <v>1348</v>
      </c>
      <c r="H44" s="17" t="s">
        <v>1629</v>
      </c>
      <c r="I44" t="s">
        <v>226</v>
      </c>
      <c r="J44" t="s">
        <v>1236</v>
      </c>
      <c r="K44" t="s">
        <v>1237</v>
      </c>
      <c r="L44" t="s">
        <v>238</v>
      </c>
      <c r="M44" t="s">
        <v>272</v>
      </c>
      <c r="N44" t="s">
        <v>235</v>
      </c>
      <c r="O44" s="4" t="s">
        <v>1630</v>
      </c>
      <c r="P44" t="s">
        <v>573</v>
      </c>
      <c r="Q44" t="s">
        <v>569</v>
      </c>
      <c r="R44" s="4" t="s">
        <v>1631</v>
      </c>
    </row>
    <row r="45" spans="1:18" ht="29" x14ac:dyDescent="0.35">
      <c r="A45" s="16" t="s">
        <v>1230</v>
      </c>
      <c r="B45" t="s">
        <v>1632</v>
      </c>
      <c r="C45">
        <v>2017</v>
      </c>
      <c r="D45" t="s">
        <v>1633</v>
      </c>
      <c r="E45" t="s">
        <v>1225</v>
      </c>
      <c r="F45" s="4" t="s">
        <v>1634</v>
      </c>
      <c r="G45" t="s">
        <v>183</v>
      </c>
      <c r="H45" s="17" t="s">
        <v>1635</v>
      </c>
      <c r="I45" t="s">
        <v>226</v>
      </c>
      <c r="J45" t="s">
        <v>1145</v>
      </c>
      <c r="K45" t="s">
        <v>1237</v>
      </c>
      <c r="L45" t="s">
        <v>1057</v>
      </c>
      <c r="M45" t="s">
        <v>285</v>
      </c>
      <c r="N45" t="s">
        <v>235</v>
      </c>
      <c r="O45" s="4" t="s">
        <v>1636</v>
      </c>
      <c r="P45" t="s">
        <v>573</v>
      </c>
      <c r="Q45" t="s">
        <v>569</v>
      </c>
      <c r="R45" s="4" t="s">
        <v>1637</v>
      </c>
    </row>
    <row r="46" spans="1:18" ht="29" x14ac:dyDescent="0.35">
      <c r="A46" s="16" t="s">
        <v>1230</v>
      </c>
      <c r="B46" t="s">
        <v>1638</v>
      </c>
      <c r="C46">
        <v>2018</v>
      </c>
      <c r="D46" t="s">
        <v>1639</v>
      </c>
      <c r="E46" t="s">
        <v>1363</v>
      </c>
      <c r="F46" s="4" t="s">
        <v>1640</v>
      </c>
      <c r="G46" t="s">
        <v>183</v>
      </c>
      <c r="H46" s="17" t="s">
        <v>1641</v>
      </c>
      <c r="I46" t="s">
        <v>227</v>
      </c>
      <c r="J46" t="s">
        <v>1257</v>
      </c>
      <c r="K46" t="s">
        <v>1237</v>
      </c>
      <c r="L46" t="s">
        <v>238</v>
      </c>
      <c r="M46" t="s">
        <v>275</v>
      </c>
      <c r="N46" t="s">
        <v>235</v>
      </c>
      <c r="O46" s="4" t="s">
        <v>1642</v>
      </c>
      <c r="P46" t="s">
        <v>573</v>
      </c>
      <c r="Q46" t="s">
        <v>569</v>
      </c>
      <c r="R46" s="4" t="s">
        <v>1643</v>
      </c>
    </row>
    <row r="47" spans="1:18" ht="29" x14ac:dyDescent="0.35">
      <c r="A47" s="16" t="s">
        <v>1230</v>
      </c>
      <c r="B47" t="s">
        <v>1644</v>
      </c>
      <c r="C47">
        <v>2020</v>
      </c>
      <c r="D47" t="s">
        <v>1645</v>
      </c>
      <c r="E47" t="s">
        <v>1646</v>
      </c>
      <c r="F47" s="4" t="s">
        <v>1647</v>
      </c>
      <c r="G47" t="s">
        <v>183</v>
      </c>
      <c r="H47" s="17" t="s">
        <v>1648</v>
      </c>
      <c r="I47" t="s">
        <v>227</v>
      </c>
      <c r="J47" t="s">
        <v>1236</v>
      </c>
      <c r="K47" t="s">
        <v>1237</v>
      </c>
      <c r="L47" t="s">
        <v>238</v>
      </c>
      <c r="M47" t="s">
        <v>275</v>
      </c>
      <c r="N47" t="s">
        <v>231</v>
      </c>
      <c r="O47" s="4" t="s">
        <v>1649</v>
      </c>
      <c r="P47" t="s">
        <v>573</v>
      </c>
      <c r="Q47" t="s">
        <v>569</v>
      </c>
      <c r="R47" s="4" t="s">
        <v>1650</v>
      </c>
    </row>
    <row r="48" spans="1:18" ht="29" x14ac:dyDescent="0.35">
      <c r="A48" s="16" t="s">
        <v>1274</v>
      </c>
      <c r="B48" t="s">
        <v>1275</v>
      </c>
      <c r="C48">
        <v>2011</v>
      </c>
      <c r="D48" t="s">
        <v>1276</v>
      </c>
      <c r="E48" t="s">
        <v>1277</v>
      </c>
      <c r="F48" s="4" t="s">
        <v>1278</v>
      </c>
      <c r="G48" t="s">
        <v>183</v>
      </c>
      <c r="H48" s="17" t="s">
        <v>1279</v>
      </c>
      <c r="I48" t="s">
        <v>226</v>
      </c>
      <c r="J48" t="s">
        <v>1280</v>
      </c>
      <c r="K48" t="s">
        <v>1280</v>
      </c>
      <c r="L48" t="s">
        <v>238</v>
      </c>
      <c r="M48" t="s">
        <v>275</v>
      </c>
      <c r="N48" t="s">
        <v>231</v>
      </c>
      <c r="O48" s="4" t="s">
        <v>1281</v>
      </c>
      <c r="P48" t="s">
        <v>572</v>
      </c>
      <c r="Q48" t="s">
        <v>569</v>
      </c>
      <c r="R48" s="4" t="s">
        <v>1282</v>
      </c>
    </row>
    <row r="49" spans="1:18" ht="29" x14ac:dyDescent="0.35">
      <c r="A49" s="16" t="s">
        <v>1274</v>
      </c>
      <c r="B49" t="s">
        <v>1283</v>
      </c>
      <c r="C49">
        <v>2016</v>
      </c>
      <c r="D49" t="s">
        <v>1284</v>
      </c>
      <c r="E49" t="s">
        <v>1210</v>
      </c>
      <c r="F49" s="4" t="s">
        <v>1285</v>
      </c>
      <c r="G49" t="s">
        <v>183</v>
      </c>
      <c r="H49" s="17" t="s">
        <v>1286</v>
      </c>
      <c r="I49" t="s">
        <v>227</v>
      </c>
      <c r="J49" t="s">
        <v>1280</v>
      </c>
      <c r="K49" t="s">
        <v>1280</v>
      </c>
      <c r="L49" t="s">
        <v>238</v>
      </c>
      <c r="M49" t="s">
        <v>272</v>
      </c>
      <c r="N49" t="s">
        <v>231</v>
      </c>
      <c r="O49" s="4" t="s">
        <v>1287</v>
      </c>
      <c r="P49" t="s">
        <v>572</v>
      </c>
      <c r="Q49" t="s">
        <v>569</v>
      </c>
      <c r="R49" s="4" t="s">
        <v>1288</v>
      </c>
    </row>
    <row r="50" spans="1:18" ht="29" x14ac:dyDescent="0.35">
      <c r="A50" s="16" t="s">
        <v>1274</v>
      </c>
      <c r="B50" t="s">
        <v>1289</v>
      </c>
      <c r="C50">
        <v>2023</v>
      </c>
      <c r="D50" t="s">
        <v>1290</v>
      </c>
      <c r="E50" t="s">
        <v>1129</v>
      </c>
      <c r="F50" s="4" t="s">
        <v>1291</v>
      </c>
      <c r="G50" t="s">
        <v>183</v>
      </c>
      <c r="H50" s="17" t="s">
        <v>1292</v>
      </c>
      <c r="I50" t="s">
        <v>225</v>
      </c>
      <c r="J50" t="s">
        <v>1280</v>
      </c>
      <c r="K50" t="s">
        <v>1280</v>
      </c>
      <c r="L50" t="s">
        <v>1057</v>
      </c>
      <c r="M50" t="s">
        <v>285</v>
      </c>
      <c r="N50" t="s">
        <v>235</v>
      </c>
      <c r="O50" s="4" t="s">
        <v>1293</v>
      </c>
      <c r="P50" t="s">
        <v>572</v>
      </c>
      <c r="Q50" t="s">
        <v>569</v>
      </c>
      <c r="R50" s="4" t="s">
        <v>1294</v>
      </c>
    </row>
    <row r="51" spans="1:18" ht="29" x14ac:dyDescent="0.35">
      <c r="A51" s="16" t="s">
        <v>1274</v>
      </c>
      <c r="B51" t="s">
        <v>1295</v>
      </c>
      <c r="C51">
        <v>2023</v>
      </c>
      <c r="D51" t="s">
        <v>1296</v>
      </c>
      <c r="E51" t="s">
        <v>1129</v>
      </c>
      <c r="F51" s="4" t="s">
        <v>1297</v>
      </c>
      <c r="G51" t="s">
        <v>183</v>
      </c>
      <c r="H51" s="17" t="s">
        <v>1298</v>
      </c>
      <c r="I51" t="s">
        <v>226</v>
      </c>
      <c r="J51" t="s">
        <v>1280</v>
      </c>
      <c r="K51" t="s">
        <v>1280</v>
      </c>
      <c r="L51" t="s">
        <v>238</v>
      </c>
      <c r="M51" t="s">
        <v>275</v>
      </c>
      <c r="N51" t="s">
        <v>235</v>
      </c>
      <c r="O51" s="4" t="s">
        <v>1299</v>
      </c>
      <c r="P51" t="s">
        <v>572</v>
      </c>
      <c r="Q51" t="s">
        <v>569</v>
      </c>
      <c r="R51" s="4" t="s">
        <v>1300</v>
      </c>
    </row>
    <row r="52" spans="1:18" ht="29" x14ac:dyDescent="0.35">
      <c r="A52" s="16" t="s">
        <v>1274</v>
      </c>
      <c r="B52" t="s">
        <v>1301</v>
      </c>
      <c r="C52">
        <v>2021</v>
      </c>
      <c r="D52" t="s">
        <v>1302</v>
      </c>
      <c r="E52" t="s">
        <v>1303</v>
      </c>
      <c r="F52" s="4" t="s">
        <v>1304</v>
      </c>
      <c r="G52" t="s">
        <v>183</v>
      </c>
      <c r="H52" s="17" t="s">
        <v>1305</v>
      </c>
      <c r="I52" t="s">
        <v>227</v>
      </c>
      <c r="J52" t="s">
        <v>1280</v>
      </c>
      <c r="K52" t="s">
        <v>1280</v>
      </c>
      <c r="L52" t="s">
        <v>238</v>
      </c>
      <c r="M52" t="s">
        <v>275</v>
      </c>
      <c r="N52" t="s">
        <v>235</v>
      </c>
      <c r="O52" s="4" t="s">
        <v>1306</v>
      </c>
      <c r="P52" t="s">
        <v>572</v>
      </c>
      <c r="Q52" t="s">
        <v>569</v>
      </c>
      <c r="R52" s="4" t="s">
        <v>1307</v>
      </c>
    </row>
    <row r="53" spans="1:18" ht="29" x14ac:dyDescent="0.35">
      <c r="A53" s="16" t="s">
        <v>1274</v>
      </c>
      <c r="B53" t="s">
        <v>1308</v>
      </c>
      <c r="C53">
        <v>2018</v>
      </c>
      <c r="D53" t="s">
        <v>1309</v>
      </c>
      <c r="E53" t="s">
        <v>1310</v>
      </c>
      <c r="F53" s="4" t="s">
        <v>1311</v>
      </c>
      <c r="G53" t="s">
        <v>183</v>
      </c>
      <c r="H53" s="17" t="s">
        <v>1312</v>
      </c>
      <c r="I53" t="s">
        <v>227</v>
      </c>
      <c r="J53" t="s">
        <v>1280</v>
      </c>
      <c r="K53" t="s">
        <v>1280</v>
      </c>
      <c r="L53" t="s">
        <v>238</v>
      </c>
      <c r="M53" t="s">
        <v>272</v>
      </c>
      <c r="N53" t="s">
        <v>233</v>
      </c>
      <c r="O53" s="4" t="s">
        <v>1313</v>
      </c>
      <c r="P53" t="s">
        <v>572</v>
      </c>
      <c r="Q53" t="s">
        <v>569</v>
      </c>
      <c r="R53" s="4" t="s">
        <v>1314</v>
      </c>
    </row>
    <row r="54" spans="1:18" ht="29" x14ac:dyDescent="0.35">
      <c r="A54" s="16" t="s">
        <v>1274</v>
      </c>
      <c r="B54" t="s">
        <v>1651</v>
      </c>
      <c r="C54">
        <v>2017</v>
      </c>
      <c r="D54" t="s">
        <v>1652</v>
      </c>
      <c r="E54" t="s">
        <v>1225</v>
      </c>
      <c r="F54" s="4" t="s">
        <v>1653</v>
      </c>
      <c r="G54" t="s">
        <v>183</v>
      </c>
      <c r="H54" s="17" t="s">
        <v>1654</v>
      </c>
      <c r="I54" t="s">
        <v>226</v>
      </c>
      <c r="J54" t="s">
        <v>1280</v>
      </c>
      <c r="K54" t="s">
        <v>1191</v>
      </c>
      <c r="L54" t="s">
        <v>1057</v>
      </c>
      <c r="M54" t="s">
        <v>285</v>
      </c>
      <c r="N54" t="s">
        <v>235</v>
      </c>
      <c r="O54" s="4" t="s">
        <v>1655</v>
      </c>
      <c r="P54" t="s">
        <v>572</v>
      </c>
      <c r="Q54" t="s">
        <v>569</v>
      </c>
      <c r="R54" s="4" t="s">
        <v>1656</v>
      </c>
    </row>
    <row r="55" spans="1:18" ht="29" x14ac:dyDescent="0.35">
      <c r="A55" s="16" t="s">
        <v>1274</v>
      </c>
      <c r="B55" t="s">
        <v>1657</v>
      </c>
      <c r="C55">
        <v>2021</v>
      </c>
      <c r="D55" t="s">
        <v>1658</v>
      </c>
      <c r="E55" t="s">
        <v>1303</v>
      </c>
      <c r="F55" s="4" t="s">
        <v>1659</v>
      </c>
      <c r="G55" t="s">
        <v>183</v>
      </c>
      <c r="H55" s="17" t="s">
        <v>1660</v>
      </c>
      <c r="I55" t="s">
        <v>227</v>
      </c>
      <c r="J55" t="s">
        <v>1280</v>
      </c>
      <c r="K55" t="s">
        <v>1280</v>
      </c>
      <c r="L55" t="s">
        <v>238</v>
      </c>
      <c r="M55" t="s">
        <v>275</v>
      </c>
      <c r="N55" t="s">
        <v>235</v>
      </c>
      <c r="O55" s="4" t="s">
        <v>1661</v>
      </c>
      <c r="P55" t="s">
        <v>572</v>
      </c>
      <c r="Q55" t="s">
        <v>569</v>
      </c>
      <c r="R55" s="4" t="s">
        <v>1662</v>
      </c>
    </row>
    <row r="56" spans="1:18" ht="29" x14ac:dyDescent="0.35">
      <c r="A56" s="16" t="s">
        <v>1274</v>
      </c>
      <c r="B56" t="s">
        <v>1663</v>
      </c>
      <c r="C56">
        <v>2019</v>
      </c>
      <c r="D56" t="s">
        <v>1664</v>
      </c>
      <c r="E56" t="s">
        <v>1217</v>
      </c>
      <c r="F56" s="4" t="s">
        <v>1665</v>
      </c>
      <c r="G56" t="s">
        <v>183</v>
      </c>
      <c r="H56" s="17" t="s">
        <v>1666</v>
      </c>
      <c r="I56" t="s">
        <v>227</v>
      </c>
      <c r="J56" t="s">
        <v>1280</v>
      </c>
      <c r="K56" t="s">
        <v>1280</v>
      </c>
      <c r="L56" t="s">
        <v>238</v>
      </c>
      <c r="M56" t="s">
        <v>275</v>
      </c>
      <c r="N56" t="s">
        <v>235</v>
      </c>
      <c r="O56" s="4" t="s">
        <v>1667</v>
      </c>
      <c r="P56" t="s">
        <v>572</v>
      </c>
      <c r="Q56" t="s">
        <v>569</v>
      </c>
      <c r="R56" s="4" t="s">
        <v>1668</v>
      </c>
    </row>
    <row r="57" spans="1:18" ht="29" x14ac:dyDescent="0.35">
      <c r="A57" s="16" t="s">
        <v>1315</v>
      </c>
      <c r="B57" t="s">
        <v>793</v>
      </c>
      <c r="C57">
        <v>2016</v>
      </c>
      <c r="D57" t="s">
        <v>1316</v>
      </c>
      <c r="E57" t="s">
        <v>795</v>
      </c>
      <c r="F57" s="4" t="s">
        <v>1317</v>
      </c>
      <c r="G57" t="s">
        <v>183</v>
      </c>
      <c r="H57" s="17" t="s">
        <v>796</v>
      </c>
      <c r="I57" t="s">
        <v>225</v>
      </c>
      <c r="J57" t="s">
        <v>1257</v>
      </c>
      <c r="K57" t="s">
        <v>1181</v>
      </c>
      <c r="L57" t="s">
        <v>1057</v>
      </c>
      <c r="M57" t="s">
        <v>285</v>
      </c>
      <c r="N57" t="s">
        <v>231</v>
      </c>
      <c r="O57" s="4" t="s">
        <v>1318</v>
      </c>
      <c r="P57" t="s">
        <v>571</v>
      </c>
      <c r="Q57" t="s">
        <v>569</v>
      </c>
      <c r="R57" s="4" t="s">
        <v>1319</v>
      </c>
    </row>
    <row r="58" spans="1:18" ht="29" x14ac:dyDescent="0.35">
      <c r="A58" s="16" t="s">
        <v>1315</v>
      </c>
      <c r="B58" t="s">
        <v>1320</v>
      </c>
      <c r="C58">
        <v>2017</v>
      </c>
      <c r="D58" t="s">
        <v>1321</v>
      </c>
      <c r="E58" t="s">
        <v>1225</v>
      </c>
      <c r="F58" s="4" t="s">
        <v>1322</v>
      </c>
      <c r="G58" t="s">
        <v>183</v>
      </c>
      <c r="H58" s="17" t="s">
        <v>1323</v>
      </c>
      <c r="I58" t="s">
        <v>225</v>
      </c>
      <c r="J58" t="s">
        <v>1257</v>
      </c>
      <c r="K58" t="s">
        <v>1181</v>
      </c>
      <c r="L58" t="s">
        <v>1057</v>
      </c>
      <c r="M58" t="s">
        <v>285</v>
      </c>
      <c r="N58" t="s">
        <v>235</v>
      </c>
      <c r="O58" s="4" t="s">
        <v>1324</v>
      </c>
      <c r="P58" t="s">
        <v>571</v>
      </c>
      <c r="Q58" t="s">
        <v>569</v>
      </c>
      <c r="R58" s="4" t="s">
        <v>1325</v>
      </c>
    </row>
    <row r="59" spans="1:18" ht="29" x14ac:dyDescent="0.35">
      <c r="A59" s="16" t="s">
        <v>1315</v>
      </c>
      <c r="B59" t="s">
        <v>789</v>
      </c>
      <c r="C59">
        <v>2017</v>
      </c>
      <c r="D59" t="s">
        <v>1326</v>
      </c>
      <c r="E59" t="s">
        <v>1225</v>
      </c>
      <c r="F59" s="4" t="s">
        <v>1327</v>
      </c>
      <c r="G59" t="s">
        <v>183</v>
      </c>
      <c r="H59" s="17" t="s">
        <v>792</v>
      </c>
      <c r="I59" t="s">
        <v>225</v>
      </c>
      <c r="J59" t="s">
        <v>1257</v>
      </c>
      <c r="K59" t="s">
        <v>1181</v>
      </c>
      <c r="L59" t="s">
        <v>1057</v>
      </c>
      <c r="M59" t="s">
        <v>285</v>
      </c>
      <c r="N59" t="s">
        <v>235</v>
      </c>
      <c r="O59" s="4" t="s">
        <v>1328</v>
      </c>
      <c r="P59" t="s">
        <v>571</v>
      </c>
      <c r="Q59" t="s">
        <v>569</v>
      </c>
      <c r="R59" s="4" t="s">
        <v>1329</v>
      </c>
    </row>
    <row r="60" spans="1:18" ht="29" x14ac:dyDescent="0.35">
      <c r="A60" s="16" t="s">
        <v>1315</v>
      </c>
      <c r="B60" t="s">
        <v>1330</v>
      </c>
      <c r="C60">
        <v>2018</v>
      </c>
      <c r="D60" t="s">
        <v>1331</v>
      </c>
      <c r="E60" t="s">
        <v>1332</v>
      </c>
      <c r="F60" s="4" t="s">
        <v>1333</v>
      </c>
      <c r="G60" t="s">
        <v>183</v>
      </c>
      <c r="H60" s="17" t="s">
        <v>1334</v>
      </c>
      <c r="I60" t="s">
        <v>226</v>
      </c>
      <c r="J60" t="s">
        <v>1257</v>
      </c>
      <c r="K60" t="s">
        <v>1181</v>
      </c>
      <c r="L60" t="s">
        <v>1057</v>
      </c>
      <c r="M60" t="s">
        <v>285</v>
      </c>
      <c r="N60" t="s">
        <v>231</v>
      </c>
      <c r="O60" s="4" t="s">
        <v>1335</v>
      </c>
      <c r="P60" t="s">
        <v>571</v>
      </c>
      <c r="Q60" t="s">
        <v>569</v>
      </c>
      <c r="R60" s="4" t="s">
        <v>1336</v>
      </c>
    </row>
    <row r="61" spans="1:18" ht="29" x14ac:dyDescent="0.35">
      <c r="A61" s="16" t="s">
        <v>1315</v>
      </c>
      <c r="B61" t="s">
        <v>1337</v>
      </c>
      <c r="C61">
        <v>2017</v>
      </c>
      <c r="D61" t="s">
        <v>1338</v>
      </c>
      <c r="E61" t="s">
        <v>1187</v>
      </c>
      <c r="F61" s="4" t="s">
        <v>1339</v>
      </c>
      <c r="G61" t="s">
        <v>183</v>
      </c>
      <c r="H61" s="17" t="s">
        <v>1340</v>
      </c>
      <c r="I61" t="s">
        <v>226</v>
      </c>
      <c r="J61" t="s">
        <v>1257</v>
      </c>
      <c r="K61" t="s">
        <v>1181</v>
      </c>
      <c r="L61" t="s">
        <v>1057</v>
      </c>
      <c r="M61" t="s">
        <v>285</v>
      </c>
      <c r="N61" t="s">
        <v>235</v>
      </c>
      <c r="O61" s="4" t="s">
        <v>1341</v>
      </c>
      <c r="P61" t="s">
        <v>571</v>
      </c>
      <c r="Q61" t="s">
        <v>569</v>
      </c>
      <c r="R61" s="4" t="s">
        <v>1342</v>
      </c>
    </row>
    <row r="62" spans="1:18" ht="29" x14ac:dyDescent="0.35">
      <c r="A62" s="16" t="s">
        <v>1315</v>
      </c>
      <c r="B62" t="s">
        <v>1669</v>
      </c>
      <c r="C62">
        <v>2017</v>
      </c>
      <c r="D62" t="s">
        <v>1670</v>
      </c>
      <c r="E62" t="s">
        <v>1476</v>
      </c>
      <c r="F62" s="4" t="s">
        <v>1671</v>
      </c>
      <c r="G62" t="s">
        <v>183</v>
      </c>
      <c r="H62" s="17" t="s">
        <v>1672</v>
      </c>
      <c r="I62" t="s">
        <v>226</v>
      </c>
      <c r="J62" t="s">
        <v>1257</v>
      </c>
      <c r="K62" t="s">
        <v>1181</v>
      </c>
      <c r="L62" t="s">
        <v>1057</v>
      </c>
      <c r="M62" t="s">
        <v>285</v>
      </c>
      <c r="N62" t="s">
        <v>235</v>
      </c>
      <c r="O62" s="4" t="s">
        <v>1673</v>
      </c>
      <c r="P62" t="s">
        <v>571</v>
      </c>
      <c r="Q62" t="s">
        <v>569</v>
      </c>
      <c r="R62" s="4" t="s">
        <v>1674</v>
      </c>
    </row>
    <row r="63" spans="1:18" ht="29" x14ac:dyDescent="0.35">
      <c r="A63" s="16" t="s">
        <v>1315</v>
      </c>
      <c r="B63" t="s">
        <v>1675</v>
      </c>
      <c r="C63">
        <v>2020</v>
      </c>
      <c r="D63" t="s">
        <v>1676</v>
      </c>
      <c r="E63" t="s">
        <v>1646</v>
      </c>
      <c r="F63" s="4" t="s">
        <v>1677</v>
      </c>
      <c r="G63" t="s">
        <v>183</v>
      </c>
      <c r="H63" s="17" t="s">
        <v>1678</v>
      </c>
      <c r="I63" t="s">
        <v>226</v>
      </c>
      <c r="J63" t="s">
        <v>1257</v>
      </c>
      <c r="K63" t="s">
        <v>1181</v>
      </c>
      <c r="L63" t="s">
        <v>1057</v>
      </c>
      <c r="M63" t="s">
        <v>285</v>
      </c>
      <c r="N63" t="s">
        <v>231</v>
      </c>
      <c r="O63" s="4" t="s">
        <v>1679</v>
      </c>
      <c r="P63" t="s">
        <v>571</v>
      </c>
      <c r="Q63" t="s">
        <v>569</v>
      </c>
      <c r="R63" s="4" t="s">
        <v>1680</v>
      </c>
    </row>
    <row r="64" spans="1:18" ht="43.5" x14ac:dyDescent="0.35">
      <c r="A64" s="16" t="s">
        <v>1315</v>
      </c>
      <c r="B64" t="s">
        <v>1681</v>
      </c>
      <c r="C64">
        <v>2018</v>
      </c>
      <c r="D64" t="s">
        <v>1682</v>
      </c>
      <c r="E64" t="s">
        <v>1683</v>
      </c>
      <c r="F64" s="4" t="s">
        <v>1684</v>
      </c>
      <c r="G64" t="s">
        <v>183</v>
      </c>
      <c r="H64" s="17" t="s">
        <v>1685</v>
      </c>
      <c r="I64" t="s">
        <v>225</v>
      </c>
      <c r="J64" t="s">
        <v>1257</v>
      </c>
      <c r="K64" t="s">
        <v>1181</v>
      </c>
      <c r="L64" t="s">
        <v>1057</v>
      </c>
      <c r="M64" t="s">
        <v>285</v>
      </c>
      <c r="N64" t="s">
        <v>235</v>
      </c>
      <c r="O64" s="4" t="s">
        <v>1686</v>
      </c>
      <c r="P64" t="s">
        <v>1420</v>
      </c>
      <c r="Q64" t="s">
        <v>569</v>
      </c>
      <c r="R64" s="4" t="s">
        <v>1687</v>
      </c>
    </row>
    <row r="65" spans="1:18" ht="29" x14ac:dyDescent="0.35">
      <c r="A65" s="16" t="s">
        <v>1315</v>
      </c>
      <c r="B65" t="s">
        <v>1688</v>
      </c>
      <c r="C65">
        <v>2023</v>
      </c>
      <c r="D65" t="s">
        <v>1689</v>
      </c>
      <c r="E65" t="s">
        <v>1690</v>
      </c>
      <c r="F65" s="4" t="s">
        <v>1691</v>
      </c>
      <c r="G65" t="s">
        <v>183</v>
      </c>
      <c r="H65" s="17" t="s">
        <v>1692</v>
      </c>
      <c r="I65" t="s">
        <v>227</v>
      </c>
      <c r="J65" t="s">
        <v>1257</v>
      </c>
      <c r="K65" t="s">
        <v>1181</v>
      </c>
      <c r="L65" t="s">
        <v>238</v>
      </c>
      <c r="M65" t="s">
        <v>275</v>
      </c>
      <c r="N65" t="s">
        <v>233</v>
      </c>
      <c r="O65" s="4" t="s">
        <v>1693</v>
      </c>
      <c r="P65" t="s">
        <v>571</v>
      </c>
      <c r="Q65" t="s">
        <v>569</v>
      </c>
      <c r="R65" s="4" t="s">
        <v>1694</v>
      </c>
    </row>
    <row r="66" spans="1:18" ht="29" x14ac:dyDescent="0.35">
      <c r="A66" s="16" t="s">
        <v>1343</v>
      </c>
      <c r="B66" t="s">
        <v>1344</v>
      </c>
      <c r="C66">
        <v>2015</v>
      </c>
      <c r="D66" t="s">
        <v>1345</v>
      </c>
      <c r="E66" t="s">
        <v>1346</v>
      </c>
      <c r="F66" s="4" t="s">
        <v>1347</v>
      </c>
      <c r="G66" t="s">
        <v>1348</v>
      </c>
      <c r="H66" s="17" t="s">
        <v>1349</v>
      </c>
      <c r="I66" t="s">
        <v>225</v>
      </c>
      <c r="J66" t="s">
        <v>1350</v>
      </c>
      <c r="K66" t="s">
        <v>1351</v>
      </c>
      <c r="L66" t="s">
        <v>1057</v>
      </c>
      <c r="M66" t="s">
        <v>285</v>
      </c>
      <c r="N66" t="s">
        <v>235</v>
      </c>
      <c r="O66" s="4" t="s">
        <v>1352</v>
      </c>
      <c r="P66" t="s">
        <v>575</v>
      </c>
      <c r="Q66" t="s">
        <v>569</v>
      </c>
      <c r="R66" s="4" t="s">
        <v>1353</v>
      </c>
    </row>
    <row r="67" spans="1:18" ht="29" x14ac:dyDescent="0.35">
      <c r="A67" s="16" t="s">
        <v>1343</v>
      </c>
      <c r="B67" t="s">
        <v>1354</v>
      </c>
      <c r="C67">
        <v>2006</v>
      </c>
      <c r="D67" t="s">
        <v>1355</v>
      </c>
      <c r="E67" t="s">
        <v>1356</v>
      </c>
      <c r="F67" s="4" t="s">
        <v>1357</v>
      </c>
      <c r="G67" t="s">
        <v>819</v>
      </c>
      <c r="H67" s="17" t="s">
        <v>1358</v>
      </c>
      <c r="I67" t="s">
        <v>227</v>
      </c>
      <c r="J67" t="s">
        <v>1350</v>
      </c>
      <c r="K67" t="s">
        <v>1351</v>
      </c>
      <c r="L67" t="s">
        <v>238</v>
      </c>
      <c r="M67" t="s">
        <v>275</v>
      </c>
      <c r="N67" t="s">
        <v>235</v>
      </c>
      <c r="O67" s="4" t="s">
        <v>1359</v>
      </c>
      <c r="P67" t="s">
        <v>575</v>
      </c>
      <c r="Q67" t="s">
        <v>569</v>
      </c>
      <c r="R67" s="4" t="s">
        <v>1360</v>
      </c>
    </row>
    <row r="68" spans="1:18" ht="43.5" x14ac:dyDescent="0.35">
      <c r="A68" s="16" t="s">
        <v>1343</v>
      </c>
      <c r="B68" t="s">
        <v>1361</v>
      </c>
      <c r="C68">
        <v>2018</v>
      </c>
      <c r="D68" t="s">
        <v>1362</v>
      </c>
      <c r="E68" t="s">
        <v>1363</v>
      </c>
      <c r="F68" s="4" t="s">
        <v>1364</v>
      </c>
      <c r="G68" t="s">
        <v>183</v>
      </c>
      <c r="H68" s="17" t="s">
        <v>1365</v>
      </c>
      <c r="I68" t="s">
        <v>225</v>
      </c>
      <c r="J68" t="s">
        <v>1350</v>
      </c>
      <c r="K68" t="s">
        <v>1191</v>
      </c>
      <c r="L68" t="s">
        <v>1057</v>
      </c>
      <c r="M68" t="s">
        <v>285</v>
      </c>
      <c r="N68" t="s">
        <v>235</v>
      </c>
      <c r="O68" s="4" t="s">
        <v>1366</v>
      </c>
      <c r="P68" t="s">
        <v>575</v>
      </c>
      <c r="Q68" t="s">
        <v>569</v>
      </c>
      <c r="R68" s="4" t="s">
        <v>1367</v>
      </c>
    </row>
    <row r="69" spans="1:18" ht="29" x14ac:dyDescent="0.35">
      <c r="A69" s="16" t="s">
        <v>1343</v>
      </c>
      <c r="B69" t="s">
        <v>1368</v>
      </c>
      <c r="C69">
        <v>2021</v>
      </c>
      <c r="D69" t="s">
        <v>1369</v>
      </c>
      <c r="E69" t="s">
        <v>1370</v>
      </c>
      <c r="F69" s="4" t="s">
        <v>1371</v>
      </c>
      <c r="G69" t="s">
        <v>183</v>
      </c>
      <c r="H69" s="17" t="s">
        <v>1372</v>
      </c>
      <c r="I69" t="s">
        <v>227</v>
      </c>
      <c r="J69" t="s">
        <v>1350</v>
      </c>
      <c r="K69" t="s">
        <v>1351</v>
      </c>
      <c r="L69" t="s">
        <v>238</v>
      </c>
      <c r="M69" t="s">
        <v>275</v>
      </c>
      <c r="N69" t="s">
        <v>233</v>
      </c>
      <c r="O69" s="4" t="s">
        <v>1373</v>
      </c>
      <c r="P69" t="s">
        <v>575</v>
      </c>
      <c r="Q69" t="s">
        <v>569</v>
      </c>
      <c r="R69" s="4" t="s">
        <v>1374</v>
      </c>
    </row>
    <row r="70" spans="1:18" ht="43.5" x14ac:dyDescent="0.35">
      <c r="A70" s="16" t="s">
        <v>1343</v>
      </c>
      <c r="B70" t="s">
        <v>1695</v>
      </c>
      <c r="C70">
        <v>2021</v>
      </c>
      <c r="D70" t="s">
        <v>1696</v>
      </c>
      <c r="E70" t="s">
        <v>1697</v>
      </c>
      <c r="F70" s="4" t="s">
        <v>1698</v>
      </c>
      <c r="G70" t="s">
        <v>183</v>
      </c>
      <c r="H70" s="17" t="s">
        <v>1699</v>
      </c>
      <c r="I70" t="s">
        <v>225</v>
      </c>
      <c r="J70" t="s">
        <v>1350</v>
      </c>
      <c r="K70" t="s">
        <v>1351</v>
      </c>
      <c r="L70" t="s">
        <v>1057</v>
      </c>
      <c r="M70" t="s">
        <v>285</v>
      </c>
      <c r="N70" t="s">
        <v>235</v>
      </c>
      <c r="O70" s="4" t="s">
        <v>1700</v>
      </c>
      <c r="P70" t="s">
        <v>575</v>
      </c>
      <c r="Q70" t="s">
        <v>569</v>
      </c>
      <c r="R70" s="4" t="s">
        <v>1701</v>
      </c>
    </row>
    <row r="71" spans="1:18" ht="29" x14ac:dyDescent="0.35">
      <c r="A71" s="16" t="s">
        <v>1343</v>
      </c>
      <c r="B71" t="s">
        <v>1702</v>
      </c>
      <c r="C71">
        <v>2017</v>
      </c>
      <c r="D71" t="s">
        <v>1703</v>
      </c>
      <c r="E71" t="s">
        <v>1704</v>
      </c>
      <c r="F71" s="4" t="s">
        <v>1705</v>
      </c>
      <c r="G71" t="s">
        <v>183</v>
      </c>
      <c r="H71" s="17" t="s">
        <v>1706</v>
      </c>
      <c r="I71" t="s">
        <v>227</v>
      </c>
      <c r="J71" t="s">
        <v>1350</v>
      </c>
      <c r="K71" t="s">
        <v>1351</v>
      </c>
      <c r="L71" t="s">
        <v>238</v>
      </c>
      <c r="M71" t="s">
        <v>275</v>
      </c>
      <c r="N71" t="s">
        <v>235</v>
      </c>
      <c r="O71" s="4" t="s">
        <v>1707</v>
      </c>
      <c r="P71" t="s">
        <v>575</v>
      </c>
      <c r="Q71" t="s">
        <v>569</v>
      </c>
      <c r="R71" s="4" t="s">
        <v>1708</v>
      </c>
    </row>
    <row r="72" spans="1:18" ht="29" x14ac:dyDescent="0.35">
      <c r="A72" s="16" t="s">
        <v>1375</v>
      </c>
      <c r="B72" t="s">
        <v>1376</v>
      </c>
      <c r="C72">
        <v>2021</v>
      </c>
      <c r="D72" t="s">
        <v>1377</v>
      </c>
      <c r="E72" t="s">
        <v>1378</v>
      </c>
      <c r="F72" s="4" t="s">
        <v>1379</v>
      </c>
      <c r="G72" t="s">
        <v>183</v>
      </c>
      <c r="H72" s="17" t="s">
        <v>1380</v>
      </c>
      <c r="I72" t="s">
        <v>225</v>
      </c>
      <c r="J72" t="s">
        <v>1145</v>
      </c>
      <c r="K72" t="s">
        <v>1381</v>
      </c>
      <c r="L72" t="s">
        <v>1057</v>
      </c>
      <c r="M72" t="s">
        <v>285</v>
      </c>
      <c r="N72" t="s">
        <v>231</v>
      </c>
      <c r="O72" s="4" t="s">
        <v>1382</v>
      </c>
      <c r="P72" t="s">
        <v>1383</v>
      </c>
      <c r="Q72" t="s">
        <v>569</v>
      </c>
      <c r="R72" s="4" t="s">
        <v>1384</v>
      </c>
    </row>
    <row r="73" spans="1:18" ht="29" x14ac:dyDescent="0.35">
      <c r="A73" s="16" t="s">
        <v>1375</v>
      </c>
      <c r="B73" t="s">
        <v>1385</v>
      </c>
      <c r="C73">
        <v>2023</v>
      </c>
      <c r="D73" t="s">
        <v>1386</v>
      </c>
      <c r="E73" t="s">
        <v>1089</v>
      </c>
      <c r="F73" s="4" t="s">
        <v>1387</v>
      </c>
      <c r="G73" t="s">
        <v>183</v>
      </c>
      <c r="H73" s="17" t="s">
        <v>1388</v>
      </c>
      <c r="I73" t="s">
        <v>225</v>
      </c>
      <c r="J73" t="s">
        <v>1145</v>
      </c>
      <c r="K73" t="s">
        <v>1381</v>
      </c>
      <c r="L73" t="s">
        <v>1057</v>
      </c>
      <c r="M73" t="s">
        <v>285</v>
      </c>
      <c r="N73" t="s">
        <v>235</v>
      </c>
      <c r="O73" s="4" t="s">
        <v>1389</v>
      </c>
      <c r="P73" t="s">
        <v>1383</v>
      </c>
      <c r="Q73" t="s">
        <v>569</v>
      </c>
      <c r="R73" s="4" t="s">
        <v>1390</v>
      </c>
    </row>
    <row r="74" spans="1:18" ht="29" x14ac:dyDescent="0.35">
      <c r="A74" s="16" t="s">
        <v>1375</v>
      </c>
      <c r="B74" t="s">
        <v>1391</v>
      </c>
      <c r="C74">
        <v>2019</v>
      </c>
      <c r="D74" t="s">
        <v>1392</v>
      </c>
      <c r="E74" t="s">
        <v>1393</v>
      </c>
      <c r="F74" s="4" t="s">
        <v>1394</v>
      </c>
      <c r="G74" t="s">
        <v>183</v>
      </c>
      <c r="H74" s="17" t="s">
        <v>1395</v>
      </c>
      <c r="I74" t="s">
        <v>227</v>
      </c>
      <c r="J74" t="s">
        <v>1145</v>
      </c>
      <c r="K74" t="s">
        <v>1381</v>
      </c>
      <c r="L74" t="s">
        <v>238</v>
      </c>
      <c r="M74" t="s">
        <v>275</v>
      </c>
      <c r="N74" t="s">
        <v>231</v>
      </c>
      <c r="O74" s="4" t="s">
        <v>1396</v>
      </c>
      <c r="P74" t="s">
        <v>1383</v>
      </c>
      <c r="Q74" t="s">
        <v>569</v>
      </c>
      <c r="R74" s="4" t="s">
        <v>1397</v>
      </c>
    </row>
    <row r="75" spans="1:18" ht="29" x14ac:dyDescent="0.35">
      <c r="A75" s="16" t="s">
        <v>1375</v>
      </c>
      <c r="B75" t="s">
        <v>1398</v>
      </c>
      <c r="C75">
        <v>2021</v>
      </c>
      <c r="D75" t="s">
        <v>1399</v>
      </c>
      <c r="E75" t="s">
        <v>1400</v>
      </c>
      <c r="F75" s="4" t="s">
        <v>1401</v>
      </c>
      <c r="G75" t="s">
        <v>183</v>
      </c>
      <c r="H75" s="17" t="s">
        <v>1402</v>
      </c>
      <c r="I75" t="s">
        <v>227</v>
      </c>
      <c r="J75" t="s">
        <v>1145</v>
      </c>
      <c r="K75" t="s">
        <v>1381</v>
      </c>
      <c r="L75" t="s">
        <v>238</v>
      </c>
      <c r="M75" t="s">
        <v>272</v>
      </c>
      <c r="N75" t="s">
        <v>231</v>
      </c>
      <c r="O75" s="4" t="s">
        <v>1403</v>
      </c>
      <c r="P75" t="s">
        <v>1383</v>
      </c>
      <c r="Q75" t="s">
        <v>569</v>
      </c>
      <c r="R75" s="4" t="s">
        <v>1404</v>
      </c>
    </row>
    <row r="76" spans="1:18" ht="29" x14ac:dyDescent="0.35">
      <c r="A76" s="16" t="s">
        <v>1375</v>
      </c>
      <c r="B76" t="s">
        <v>1405</v>
      </c>
      <c r="C76">
        <v>2022</v>
      </c>
      <c r="D76" t="s">
        <v>1406</v>
      </c>
      <c r="E76" t="s">
        <v>1407</v>
      </c>
      <c r="F76" s="4" t="s">
        <v>1408</v>
      </c>
      <c r="G76" t="s">
        <v>183</v>
      </c>
      <c r="H76" s="17" t="s">
        <v>1409</v>
      </c>
      <c r="I76" t="s">
        <v>226</v>
      </c>
      <c r="J76" t="s">
        <v>1145</v>
      </c>
      <c r="K76" t="s">
        <v>1381</v>
      </c>
      <c r="L76" t="s">
        <v>1057</v>
      </c>
      <c r="M76" t="s">
        <v>285</v>
      </c>
      <c r="N76" t="s">
        <v>235</v>
      </c>
      <c r="O76" s="4" t="s">
        <v>1410</v>
      </c>
      <c r="P76" t="s">
        <v>1383</v>
      </c>
      <c r="Q76" t="s">
        <v>569</v>
      </c>
      <c r="R76" s="4" t="s">
        <v>1411</v>
      </c>
    </row>
    <row r="77" spans="1:18" ht="43.5" x14ac:dyDescent="0.35">
      <c r="A77" s="16" t="s">
        <v>1375</v>
      </c>
      <c r="B77" t="s">
        <v>1709</v>
      </c>
      <c r="C77">
        <v>2020</v>
      </c>
      <c r="D77" t="s">
        <v>1710</v>
      </c>
      <c r="E77" t="s">
        <v>1646</v>
      </c>
      <c r="F77" s="4" t="s">
        <v>1711</v>
      </c>
      <c r="G77" t="s">
        <v>183</v>
      </c>
      <c r="H77" s="17" t="s">
        <v>1712</v>
      </c>
      <c r="I77" t="s">
        <v>226</v>
      </c>
      <c r="J77" t="s">
        <v>1145</v>
      </c>
      <c r="K77" t="s">
        <v>1381</v>
      </c>
      <c r="L77" t="s">
        <v>1057</v>
      </c>
      <c r="M77" t="s">
        <v>285</v>
      </c>
      <c r="N77" t="s">
        <v>235</v>
      </c>
      <c r="O77" s="4" t="s">
        <v>1713</v>
      </c>
      <c r="P77" t="s">
        <v>1383</v>
      </c>
      <c r="Q77" t="s">
        <v>569</v>
      </c>
      <c r="R77" s="4" t="s">
        <v>1714</v>
      </c>
    </row>
    <row r="78" spans="1:18" ht="29" x14ac:dyDescent="0.35">
      <c r="A78" s="16" t="s">
        <v>1375</v>
      </c>
      <c r="B78" t="s">
        <v>1715</v>
      </c>
      <c r="C78">
        <v>2020</v>
      </c>
      <c r="D78" t="s">
        <v>1716</v>
      </c>
      <c r="E78" t="s">
        <v>1646</v>
      </c>
      <c r="F78" s="4" t="s">
        <v>1717</v>
      </c>
      <c r="G78" t="s">
        <v>183</v>
      </c>
      <c r="H78" s="17" t="s">
        <v>1718</v>
      </c>
      <c r="I78" t="s">
        <v>227</v>
      </c>
      <c r="J78" t="s">
        <v>1145</v>
      </c>
      <c r="K78" t="s">
        <v>1381</v>
      </c>
      <c r="L78" t="s">
        <v>238</v>
      </c>
      <c r="M78" t="s">
        <v>275</v>
      </c>
      <c r="N78" t="s">
        <v>235</v>
      </c>
      <c r="O78" s="4" t="s">
        <v>1719</v>
      </c>
      <c r="P78" t="s">
        <v>1383</v>
      </c>
      <c r="Q78" t="s">
        <v>569</v>
      </c>
      <c r="R78" s="4" t="s">
        <v>1720</v>
      </c>
    </row>
    <row r="79" spans="1:18" ht="43.5" x14ac:dyDescent="0.35">
      <c r="A79" s="16" t="s">
        <v>1375</v>
      </c>
      <c r="B79" t="s">
        <v>1721</v>
      </c>
      <c r="C79">
        <v>2022</v>
      </c>
      <c r="D79" t="s">
        <v>1722</v>
      </c>
      <c r="E79" t="s">
        <v>1407</v>
      </c>
      <c r="F79" s="4" t="s">
        <v>1723</v>
      </c>
      <c r="G79" t="s">
        <v>183</v>
      </c>
      <c r="H79" s="17" t="s">
        <v>1724</v>
      </c>
      <c r="I79" t="s">
        <v>227</v>
      </c>
      <c r="J79" t="s">
        <v>1145</v>
      </c>
      <c r="K79" t="s">
        <v>1381</v>
      </c>
      <c r="L79" t="s">
        <v>238</v>
      </c>
      <c r="M79" t="s">
        <v>275</v>
      </c>
      <c r="N79" t="s">
        <v>235</v>
      </c>
      <c r="O79" s="4" t="s">
        <v>1725</v>
      </c>
      <c r="P79" t="s">
        <v>1383</v>
      </c>
      <c r="Q79" t="s">
        <v>569</v>
      </c>
      <c r="R79" s="4" t="s">
        <v>1726</v>
      </c>
    </row>
    <row r="80" spans="1:18" ht="29" x14ac:dyDescent="0.35">
      <c r="A80" s="16" t="s">
        <v>1412</v>
      </c>
      <c r="B80" t="s">
        <v>1413</v>
      </c>
      <c r="C80">
        <v>2017</v>
      </c>
      <c r="D80" t="s">
        <v>1414</v>
      </c>
      <c r="E80" t="s">
        <v>1415</v>
      </c>
      <c r="F80" s="4" t="s">
        <v>1416</v>
      </c>
      <c r="G80" t="s">
        <v>183</v>
      </c>
      <c r="H80" s="17" t="s">
        <v>1417</v>
      </c>
      <c r="I80" t="s">
        <v>226</v>
      </c>
      <c r="J80" t="s">
        <v>1257</v>
      </c>
      <c r="K80" t="s">
        <v>1418</v>
      </c>
      <c r="L80" t="s">
        <v>1057</v>
      </c>
      <c r="M80" t="s">
        <v>285</v>
      </c>
      <c r="N80" t="s">
        <v>231</v>
      </c>
      <c r="O80" s="4" t="s">
        <v>1419</v>
      </c>
      <c r="P80" t="s">
        <v>1420</v>
      </c>
      <c r="Q80" t="s">
        <v>569</v>
      </c>
      <c r="R80" s="4" t="s">
        <v>1421</v>
      </c>
    </row>
    <row r="81" spans="1:18" ht="29" x14ac:dyDescent="0.35">
      <c r="A81" s="16" t="s">
        <v>1412</v>
      </c>
      <c r="B81" t="s">
        <v>1422</v>
      </c>
      <c r="C81">
        <v>2021</v>
      </c>
      <c r="D81" t="s">
        <v>1423</v>
      </c>
      <c r="E81" t="s">
        <v>1424</v>
      </c>
      <c r="F81" s="4" t="s">
        <v>1425</v>
      </c>
      <c r="G81" t="s">
        <v>183</v>
      </c>
      <c r="H81" s="17" t="s">
        <v>1426</v>
      </c>
      <c r="I81" t="s">
        <v>227</v>
      </c>
      <c r="J81" t="s">
        <v>1257</v>
      </c>
      <c r="K81" t="s">
        <v>1418</v>
      </c>
      <c r="L81" t="s">
        <v>238</v>
      </c>
      <c r="M81" t="s">
        <v>275</v>
      </c>
      <c r="N81" t="s">
        <v>233</v>
      </c>
      <c r="O81" s="4" t="s">
        <v>1427</v>
      </c>
      <c r="P81" t="s">
        <v>1420</v>
      </c>
      <c r="Q81" t="s">
        <v>569</v>
      </c>
      <c r="R81" s="4" t="s">
        <v>1428</v>
      </c>
    </row>
    <row r="82" spans="1:18" ht="29" x14ac:dyDescent="0.35">
      <c r="A82" s="16" t="s">
        <v>1412</v>
      </c>
      <c r="B82" t="s">
        <v>1429</v>
      </c>
      <c r="C82">
        <v>2021</v>
      </c>
      <c r="D82" t="s">
        <v>1430</v>
      </c>
      <c r="E82" t="s">
        <v>1431</v>
      </c>
      <c r="F82" s="4" t="s">
        <v>1432</v>
      </c>
      <c r="G82" t="s">
        <v>183</v>
      </c>
      <c r="H82" s="17" t="s">
        <v>1433</v>
      </c>
      <c r="I82" t="s">
        <v>1434</v>
      </c>
      <c r="J82" t="s">
        <v>1257</v>
      </c>
      <c r="K82" t="s">
        <v>1418</v>
      </c>
      <c r="L82" t="s">
        <v>238</v>
      </c>
      <c r="M82" t="s">
        <v>275</v>
      </c>
      <c r="N82" t="s">
        <v>233</v>
      </c>
      <c r="O82" s="4" t="s">
        <v>1435</v>
      </c>
      <c r="P82" t="s">
        <v>1420</v>
      </c>
      <c r="Q82" t="s">
        <v>569</v>
      </c>
      <c r="R82" s="4" t="s">
        <v>1436</v>
      </c>
    </row>
    <row r="83" spans="1:18" ht="29" x14ac:dyDescent="0.35">
      <c r="A83" s="16" t="s">
        <v>1412</v>
      </c>
      <c r="B83" t="s">
        <v>1727</v>
      </c>
      <c r="C83">
        <v>2020</v>
      </c>
      <c r="D83" t="s">
        <v>1728</v>
      </c>
      <c r="E83" t="s">
        <v>1729</v>
      </c>
      <c r="F83" s="4" t="s">
        <v>1730</v>
      </c>
      <c r="G83" t="s">
        <v>183</v>
      </c>
      <c r="H83" s="17" t="s">
        <v>1731</v>
      </c>
      <c r="I83" t="s">
        <v>227</v>
      </c>
      <c r="J83" t="s">
        <v>1257</v>
      </c>
      <c r="K83" t="s">
        <v>1418</v>
      </c>
      <c r="L83" t="s">
        <v>238</v>
      </c>
      <c r="M83" t="s">
        <v>275</v>
      </c>
      <c r="N83" t="s">
        <v>231</v>
      </c>
      <c r="O83" s="4" t="s">
        <v>1732</v>
      </c>
      <c r="P83" t="s">
        <v>1420</v>
      </c>
      <c r="Q83" t="s">
        <v>569</v>
      </c>
      <c r="R83" s="4" t="s">
        <v>1733</v>
      </c>
    </row>
    <row r="84" spans="1:18" ht="29" x14ac:dyDescent="0.35">
      <c r="A84" s="16" t="s">
        <v>1412</v>
      </c>
      <c r="B84" t="s">
        <v>1734</v>
      </c>
      <c r="C84">
        <v>2018</v>
      </c>
      <c r="D84" t="s">
        <v>1735</v>
      </c>
      <c r="E84" t="s">
        <v>1736</v>
      </c>
      <c r="F84" s="4" t="s">
        <v>1737</v>
      </c>
      <c r="G84" t="s">
        <v>183</v>
      </c>
      <c r="H84" s="17" t="s">
        <v>1738</v>
      </c>
      <c r="I84" t="s">
        <v>227</v>
      </c>
      <c r="J84" t="s">
        <v>1257</v>
      </c>
      <c r="K84" t="s">
        <v>1418</v>
      </c>
      <c r="L84" t="s">
        <v>238</v>
      </c>
      <c r="M84" t="s">
        <v>275</v>
      </c>
      <c r="N84" t="s">
        <v>233</v>
      </c>
      <c r="O84" s="4" t="s">
        <v>1739</v>
      </c>
      <c r="P84" t="s">
        <v>1420</v>
      </c>
      <c r="Q84" t="s">
        <v>569</v>
      </c>
      <c r="R84" s="4" t="s">
        <v>1740</v>
      </c>
    </row>
    <row r="85" spans="1:18" ht="29" x14ac:dyDescent="0.35">
      <c r="A85" s="16" t="s">
        <v>1437</v>
      </c>
      <c r="B85" t="s">
        <v>1438</v>
      </c>
      <c r="C85">
        <v>2015</v>
      </c>
      <c r="D85" t="s">
        <v>1439</v>
      </c>
      <c r="E85" t="s">
        <v>1440</v>
      </c>
      <c r="F85" s="4" t="s">
        <v>1441</v>
      </c>
      <c r="G85" t="s">
        <v>183</v>
      </c>
      <c r="H85" s="17" t="s">
        <v>1442</v>
      </c>
      <c r="I85" t="s">
        <v>226</v>
      </c>
      <c r="J85" t="s">
        <v>1145</v>
      </c>
      <c r="K85" t="s">
        <v>1443</v>
      </c>
      <c r="L85" t="s">
        <v>1057</v>
      </c>
      <c r="M85" t="s">
        <v>285</v>
      </c>
      <c r="N85" t="s">
        <v>231</v>
      </c>
      <c r="O85" s="4" t="s">
        <v>1444</v>
      </c>
      <c r="P85" t="s">
        <v>1383</v>
      </c>
      <c r="Q85" t="s">
        <v>569</v>
      </c>
      <c r="R85" s="4" t="s">
        <v>1445</v>
      </c>
    </row>
    <row r="86" spans="1:18" ht="29" x14ac:dyDescent="0.35">
      <c r="A86" s="16" t="s">
        <v>1437</v>
      </c>
      <c r="B86" t="s">
        <v>1446</v>
      </c>
      <c r="C86">
        <v>2017</v>
      </c>
      <c r="D86" t="s">
        <v>1447</v>
      </c>
      <c r="E86" t="s">
        <v>1448</v>
      </c>
      <c r="F86" s="4" t="s">
        <v>1449</v>
      </c>
      <c r="G86" t="s">
        <v>183</v>
      </c>
      <c r="H86" s="17" t="s">
        <v>1450</v>
      </c>
      <c r="I86" t="s">
        <v>226</v>
      </c>
      <c r="J86" t="s">
        <v>1145</v>
      </c>
      <c r="K86" t="s">
        <v>1443</v>
      </c>
      <c r="L86" t="s">
        <v>1057</v>
      </c>
      <c r="M86" t="s">
        <v>285</v>
      </c>
      <c r="N86" t="s">
        <v>235</v>
      </c>
      <c r="O86" s="4" t="s">
        <v>1451</v>
      </c>
      <c r="P86" t="s">
        <v>1383</v>
      </c>
      <c r="Q86" t="s">
        <v>569</v>
      </c>
      <c r="R86" s="4" t="s">
        <v>1452</v>
      </c>
    </row>
    <row r="87" spans="1:18" ht="29" x14ac:dyDescent="0.35">
      <c r="A87" s="16" t="s">
        <v>1437</v>
      </c>
      <c r="B87" t="s">
        <v>1453</v>
      </c>
      <c r="C87">
        <v>2017</v>
      </c>
      <c r="D87" t="s">
        <v>1454</v>
      </c>
      <c r="E87" t="s">
        <v>1225</v>
      </c>
      <c r="F87" s="4" t="s">
        <v>1455</v>
      </c>
      <c r="G87" t="s">
        <v>183</v>
      </c>
      <c r="H87" s="17" t="s">
        <v>1456</v>
      </c>
      <c r="I87" t="s">
        <v>227</v>
      </c>
      <c r="J87" t="s">
        <v>1145</v>
      </c>
      <c r="K87" t="s">
        <v>1443</v>
      </c>
      <c r="L87" t="s">
        <v>238</v>
      </c>
      <c r="M87" t="s">
        <v>275</v>
      </c>
      <c r="N87" t="s">
        <v>231</v>
      </c>
      <c r="O87" s="4" t="s">
        <v>1457</v>
      </c>
      <c r="P87" t="s">
        <v>1383</v>
      </c>
      <c r="Q87" t="s">
        <v>569</v>
      </c>
      <c r="R87" s="4" t="s">
        <v>1458</v>
      </c>
    </row>
    <row r="88" spans="1:18" ht="29" x14ac:dyDescent="0.35">
      <c r="A88" s="16" t="s">
        <v>1437</v>
      </c>
      <c r="B88" t="s">
        <v>1459</v>
      </c>
      <c r="C88">
        <v>2019</v>
      </c>
      <c r="D88" t="s">
        <v>1460</v>
      </c>
      <c r="E88" t="s">
        <v>1461</v>
      </c>
      <c r="F88" s="4" t="s">
        <v>1462</v>
      </c>
      <c r="G88" t="s">
        <v>183</v>
      </c>
      <c r="H88" s="17" t="s">
        <v>1463</v>
      </c>
      <c r="I88" t="s">
        <v>226</v>
      </c>
      <c r="J88" t="s">
        <v>1145</v>
      </c>
      <c r="K88" t="s">
        <v>1443</v>
      </c>
      <c r="L88" t="s">
        <v>1057</v>
      </c>
      <c r="M88" t="s">
        <v>285</v>
      </c>
      <c r="N88" t="s">
        <v>235</v>
      </c>
      <c r="O88" s="4" t="s">
        <v>1464</v>
      </c>
      <c r="P88" t="s">
        <v>1383</v>
      </c>
      <c r="Q88" t="s">
        <v>569</v>
      </c>
      <c r="R88" s="4" t="s">
        <v>1465</v>
      </c>
    </row>
    <row r="89" spans="1:18" ht="29" x14ac:dyDescent="0.35">
      <c r="A89" s="16" t="s">
        <v>1437</v>
      </c>
      <c r="B89" t="s">
        <v>1466</v>
      </c>
      <c r="C89">
        <v>2021</v>
      </c>
      <c r="D89" t="s">
        <v>1467</v>
      </c>
      <c r="E89" t="s">
        <v>1468</v>
      </c>
      <c r="F89" s="4" t="s">
        <v>1469</v>
      </c>
      <c r="G89" t="s">
        <v>183</v>
      </c>
      <c r="H89" s="17" t="s">
        <v>1470</v>
      </c>
      <c r="I89" t="s">
        <v>227</v>
      </c>
      <c r="J89" t="s">
        <v>1145</v>
      </c>
      <c r="K89" t="s">
        <v>1443</v>
      </c>
      <c r="L89" t="s">
        <v>238</v>
      </c>
      <c r="M89" t="s">
        <v>275</v>
      </c>
      <c r="N89" t="s">
        <v>233</v>
      </c>
      <c r="O89" s="4" t="s">
        <v>1471</v>
      </c>
      <c r="P89" t="s">
        <v>1383</v>
      </c>
      <c r="Q89" t="s">
        <v>569</v>
      </c>
      <c r="R89" s="4" t="s">
        <v>1472</v>
      </c>
    </row>
    <row r="90" spans="1:18" ht="29" x14ac:dyDescent="0.35">
      <c r="A90" s="16" t="s">
        <v>1437</v>
      </c>
      <c r="B90" t="s">
        <v>1741</v>
      </c>
      <c r="C90">
        <v>2017</v>
      </c>
      <c r="D90" t="s">
        <v>1742</v>
      </c>
      <c r="E90" t="s">
        <v>1743</v>
      </c>
      <c r="F90" s="4" t="s">
        <v>1744</v>
      </c>
      <c r="G90" t="s">
        <v>183</v>
      </c>
      <c r="H90" s="17" t="s">
        <v>1745</v>
      </c>
      <c r="I90" t="s">
        <v>227</v>
      </c>
      <c r="J90" t="s">
        <v>1145</v>
      </c>
      <c r="K90" t="s">
        <v>1443</v>
      </c>
      <c r="L90" t="s">
        <v>238</v>
      </c>
      <c r="M90" t="s">
        <v>275</v>
      </c>
      <c r="N90" t="s">
        <v>235</v>
      </c>
      <c r="O90" s="4" t="s">
        <v>1746</v>
      </c>
      <c r="P90" t="s">
        <v>1383</v>
      </c>
      <c r="Q90" t="s">
        <v>569</v>
      </c>
      <c r="R90" s="4" t="s">
        <v>1747</v>
      </c>
    </row>
    <row r="91" spans="1:18" ht="29" x14ac:dyDescent="0.35">
      <c r="A91" s="16" t="s">
        <v>1437</v>
      </c>
      <c r="B91" t="s">
        <v>1748</v>
      </c>
      <c r="C91">
        <v>2016</v>
      </c>
      <c r="D91" t="s">
        <v>1749</v>
      </c>
      <c r="E91" t="s">
        <v>1750</v>
      </c>
      <c r="F91" s="4" t="s">
        <v>1751</v>
      </c>
      <c r="G91" t="s">
        <v>183</v>
      </c>
      <c r="H91" s="17" t="s">
        <v>1752</v>
      </c>
      <c r="I91" t="s">
        <v>227</v>
      </c>
      <c r="J91" t="s">
        <v>1145</v>
      </c>
      <c r="K91" t="s">
        <v>1443</v>
      </c>
      <c r="L91" t="s">
        <v>238</v>
      </c>
      <c r="M91" t="s">
        <v>275</v>
      </c>
      <c r="N91" t="s">
        <v>235</v>
      </c>
      <c r="O91" s="4" t="s">
        <v>1753</v>
      </c>
      <c r="P91" t="s">
        <v>1383</v>
      </c>
      <c r="Q91" t="s">
        <v>569</v>
      </c>
      <c r="R91" s="4" t="s">
        <v>1754</v>
      </c>
    </row>
    <row r="92" spans="1:18" ht="29" x14ac:dyDescent="0.35">
      <c r="A92" s="16" t="s">
        <v>1473</v>
      </c>
      <c r="B92" t="s">
        <v>1474</v>
      </c>
      <c r="C92">
        <v>2017</v>
      </c>
      <c r="D92" t="s">
        <v>1475</v>
      </c>
      <c r="E92" t="s">
        <v>1476</v>
      </c>
      <c r="F92" s="4" t="s">
        <v>1477</v>
      </c>
      <c r="G92" t="s">
        <v>183</v>
      </c>
      <c r="H92" s="17" t="s">
        <v>1478</v>
      </c>
      <c r="I92" t="s">
        <v>225</v>
      </c>
      <c r="J92" t="s">
        <v>1479</v>
      </c>
      <c r="K92" t="s">
        <v>1480</v>
      </c>
      <c r="L92" t="s">
        <v>1057</v>
      </c>
      <c r="M92" t="s">
        <v>285</v>
      </c>
      <c r="N92" t="s">
        <v>231</v>
      </c>
      <c r="O92" s="4" t="s">
        <v>1481</v>
      </c>
      <c r="P92" t="s">
        <v>1482</v>
      </c>
      <c r="Q92" t="s">
        <v>569</v>
      </c>
      <c r="R92" s="4" t="s">
        <v>1483</v>
      </c>
    </row>
    <row r="93" spans="1:18" ht="29" x14ac:dyDescent="0.35">
      <c r="A93" s="16" t="s">
        <v>1473</v>
      </c>
      <c r="B93" t="s">
        <v>1484</v>
      </c>
      <c r="C93">
        <v>2022</v>
      </c>
      <c r="D93" t="s">
        <v>1485</v>
      </c>
      <c r="E93" t="s">
        <v>1486</v>
      </c>
      <c r="F93" s="4" t="s">
        <v>1487</v>
      </c>
      <c r="G93" t="s">
        <v>183</v>
      </c>
      <c r="H93" s="17" t="s">
        <v>1488</v>
      </c>
      <c r="I93" t="s">
        <v>227</v>
      </c>
      <c r="J93" t="s">
        <v>1479</v>
      </c>
      <c r="K93" t="s">
        <v>1480</v>
      </c>
      <c r="L93" t="s">
        <v>238</v>
      </c>
      <c r="M93" t="s">
        <v>275</v>
      </c>
      <c r="N93" t="s">
        <v>235</v>
      </c>
      <c r="O93" s="4" t="s">
        <v>1489</v>
      </c>
      <c r="P93" t="s">
        <v>1482</v>
      </c>
      <c r="Q93" t="s">
        <v>569</v>
      </c>
      <c r="R93" s="4" t="s">
        <v>1490</v>
      </c>
    </row>
    <row r="94" spans="1:18" ht="29" x14ac:dyDescent="0.35">
      <c r="A94" s="16" t="s">
        <v>1473</v>
      </c>
      <c r="B94" t="s">
        <v>1491</v>
      </c>
      <c r="C94">
        <v>2016</v>
      </c>
      <c r="D94" t="s">
        <v>1492</v>
      </c>
      <c r="E94" t="s">
        <v>1493</v>
      </c>
      <c r="F94" s="4" t="s">
        <v>1494</v>
      </c>
      <c r="G94" t="s">
        <v>183</v>
      </c>
      <c r="H94" s="17" t="s">
        <v>1495</v>
      </c>
      <c r="I94" t="s">
        <v>226</v>
      </c>
      <c r="J94" t="s">
        <v>1479</v>
      </c>
      <c r="K94" t="s">
        <v>1480</v>
      </c>
      <c r="L94" t="s">
        <v>1057</v>
      </c>
      <c r="M94" t="s">
        <v>285</v>
      </c>
      <c r="N94" t="s">
        <v>231</v>
      </c>
      <c r="O94" s="4" t="s">
        <v>1496</v>
      </c>
      <c r="P94" t="s">
        <v>1482</v>
      </c>
      <c r="Q94" t="s">
        <v>569</v>
      </c>
      <c r="R94" s="4" t="s">
        <v>1497</v>
      </c>
    </row>
    <row r="95" spans="1:18" ht="29" x14ac:dyDescent="0.35">
      <c r="A95" s="16" t="s">
        <v>1473</v>
      </c>
      <c r="B95" t="s">
        <v>1755</v>
      </c>
      <c r="C95">
        <v>2018</v>
      </c>
      <c r="D95" t="s">
        <v>1756</v>
      </c>
      <c r="E95" t="s">
        <v>1757</v>
      </c>
      <c r="F95" s="4" t="s">
        <v>1758</v>
      </c>
      <c r="G95" t="s">
        <v>183</v>
      </c>
      <c r="H95" s="17" t="s">
        <v>1759</v>
      </c>
      <c r="I95" t="s">
        <v>225</v>
      </c>
      <c r="J95" t="s">
        <v>1479</v>
      </c>
      <c r="K95" t="s">
        <v>1480</v>
      </c>
      <c r="L95" t="s">
        <v>1057</v>
      </c>
      <c r="M95" t="s">
        <v>285</v>
      </c>
      <c r="N95" t="s">
        <v>231</v>
      </c>
      <c r="O95" s="4" t="s">
        <v>1760</v>
      </c>
      <c r="P95" t="s">
        <v>1482</v>
      </c>
      <c r="Q95" t="s">
        <v>569</v>
      </c>
      <c r="R95" s="4" t="s">
        <v>1761</v>
      </c>
    </row>
    <row r="96" spans="1:18" ht="29" x14ac:dyDescent="0.35">
      <c r="A96" s="16" t="s">
        <v>1473</v>
      </c>
      <c r="B96" t="s">
        <v>1762</v>
      </c>
      <c r="C96">
        <v>2023</v>
      </c>
      <c r="D96" t="s">
        <v>1763</v>
      </c>
      <c r="E96" t="s">
        <v>1600</v>
      </c>
      <c r="F96" s="4" t="s">
        <v>1764</v>
      </c>
      <c r="G96" t="s">
        <v>183</v>
      </c>
      <c r="H96" s="17" t="s">
        <v>1765</v>
      </c>
      <c r="I96" t="s">
        <v>227</v>
      </c>
      <c r="J96" t="s">
        <v>1479</v>
      </c>
      <c r="K96" t="s">
        <v>1480</v>
      </c>
      <c r="L96" t="s">
        <v>238</v>
      </c>
      <c r="M96" t="s">
        <v>275</v>
      </c>
      <c r="N96" t="s">
        <v>235</v>
      </c>
      <c r="O96" s="4" t="s">
        <v>1766</v>
      </c>
      <c r="P96" t="s">
        <v>1482</v>
      </c>
      <c r="Q96" t="s">
        <v>569</v>
      </c>
      <c r="R96" s="4" t="s">
        <v>1767</v>
      </c>
    </row>
    <row r="97" spans="1:18" ht="29" x14ac:dyDescent="0.35">
      <c r="A97" s="16" t="s">
        <v>1498</v>
      </c>
      <c r="B97" t="s">
        <v>1499</v>
      </c>
      <c r="C97">
        <v>2024</v>
      </c>
      <c r="D97" t="s">
        <v>1500</v>
      </c>
      <c r="E97" t="s">
        <v>1142</v>
      </c>
      <c r="F97" s="4" t="s">
        <v>1501</v>
      </c>
      <c r="G97" t="s">
        <v>183</v>
      </c>
      <c r="H97" s="17" t="s">
        <v>1502</v>
      </c>
      <c r="I97" t="s">
        <v>226</v>
      </c>
      <c r="J97" t="s">
        <v>1220</v>
      </c>
      <c r="K97" t="s">
        <v>1503</v>
      </c>
      <c r="L97" t="s">
        <v>238</v>
      </c>
      <c r="M97" t="s">
        <v>275</v>
      </c>
      <c r="N97" t="s">
        <v>235</v>
      </c>
      <c r="O97" s="4" t="s">
        <v>1504</v>
      </c>
      <c r="P97" t="s">
        <v>1505</v>
      </c>
      <c r="Q97" t="s">
        <v>569</v>
      </c>
      <c r="R97" s="4" t="s">
        <v>1506</v>
      </c>
    </row>
    <row r="98" spans="1:18" ht="29" x14ac:dyDescent="0.35">
      <c r="A98" s="16" t="s">
        <v>1498</v>
      </c>
      <c r="B98" t="s">
        <v>1507</v>
      </c>
      <c r="C98">
        <v>2024</v>
      </c>
      <c r="D98" t="s">
        <v>1508</v>
      </c>
      <c r="E98" t="s">
        <v>1509</v>
      </c>
      <c r="F98" s="4" t="s">
        <v>1510</v>
      </c>
      <c r="G98" t="s">
        <v>1511</v>
      </c>
      <c r="H98" s="17" t="s">
        <v>1512</v>
      </c>
      <c r="I98" t="s">
        <v>226</v>
      </c>
      <c r="J98" t="s">
        <v>1220</v>
      </c>
      <c r="K98" t="s">
        <v>1503</v>
      </c>
      <c r="L98" t="s">
        <v>1057</v>
      </c>
      <c r="M98" t="s">
        <v>285</v>
      </c>
      <c r="N98" t="s">
        <v>1513</v>
      </c>
      <c r="O98" s="4" t="s">
        <v>1514</v>
      </c>
      <c r="P98" t="s">
        <v>1505</v>
      </c>
      <c r="Q98" t="s">
        <v>569</v>
      </c>
      <c r="R98" s="4" t="s">
        <v>1515</v>
      </c>
    </row>
    <row r="99" spans="1:18" ht="29" x14ac:dyDescent="0.35">
      <c r="A99" s="16" t="s">
        <v>1498</v>
      </c>
      <c r="B99" t="s">
        <v>1516</v>
      </c>
      <c r="C99">
        <v>2023</v>
      </c>
      <c r="D99" t="s">
        <v>1517</v>
      </c>
      <c r="E99" t="s">
        <v>1518</v>
      </c>
      <c r="F99" s="4" t="s">
        <v>1519</v>
      </c>
      <c r="G99" t="s">
        <v>183</v>
      </c>
      <c r="H99" s="17" t="s">
        <v>1520</v>
      </c>
      <c r="I99" t="s">
        <v>227</v>
      </c>
      <c r="J99" t="s">
        <v>1220</v>
      </c>
      <c r="K99" t="s">
        <v>1132</v>
      </c>
      <c r="L99" t="s">
        <v>238</v>
      </c>
      <c r="M99" t="s">
        <v>275</v>
      </c>
      <c r="N99" t="s">
        <v>235</v>
      </c>
      <c r="O99" s="4" t="s">
        <v>1521</v>
      </c>
      <c r="P99" t="s">
        <v>1505</v>
      </c>
      <c r="Q99" t="s">
        <v>569</v>
      </c>
      <c r="R99" s="4" t="s">
        <v>1522</v>
      </c>
    </row>
    <row r="100" spans="1:18" ht="29" x14ac:dyDescent="0.35">
      <c r="A100" s="16" t="s">
        <v>1498</v>
      </c>
      <c r="B100" t="s">
        <v>1768</v>
      </c>
      <c r="C100">
        <v>2021</v>
      </c>
      <c r="D100" t="s">
        <v>1769</v>
      </c>
      <c r="E100" t="s">
        <v>1303</v>
      </c>
      <c r="F100" s="4" t="s">
        <v>1770</v>
      </c>
      <c r="G100" t="s">
        <v>183</v>
      </c>
      <c r="H100" s="17" t="s">
        <v>1771</v>
      </c>
      <c r="I100" t="s">
        <v>227</v>
      </c>
      <c r="J100" t="s">
        <v>1220</v>
      </c>
      <c r="K100" t="s">
        <v>1503</v>
      </c>
      <c r="L100" t="s">
        <v>238</v>
      </c>
      <c r="M100" t="s">
        <v>275</v>
      </c>
      <c r="N100" t="s">
        <v>235</v>
      </c>
      <c r="O100" s="4" t="s">
        <v>1772</v>
      </c>
      <c r="P100" t="s">
        <v>1505</v>
      </c>
      <c r="Q100" t="s">
        <v>569</v>
      </c>
      <c r="R100" s="4" t="s">
        <v>1773</v>
      </c>
    </row>
    <row r="101" spans="1:18" ht="29" x14ac:dyDescent="0.35">
      <c r="A101" s="16" t="s">
        <v>1498</v>
      </c>
      <c r="B101" t="s">
        <v>1774</v>
      </c>
      <c r="C101">
        <v>2022</v>
      </c>
      <c r="D101" t="s">
        <v>1775</v>
      </c>
      <c r="E101" t="s">
        <v>1776</v>
      </c>
      <c r="F101" s="4" t="s">
        <v>1777</v>
      </c>
      <c r="G101" t="s">
        <v>183</v>
      </c>
      <c r="H101" s="17" t="s">
        <v>1778</v>
      </c>
      <c r="I101" t="s">
        <v>227</v>
      </c>
      <c r="J101" t="s">
        <v>1220</v>
      </c>
      <c r="K101" t="s">
        <v>1503</v>
      </c>
      <c r="L101" t="s">
        <v>238</v>
      </c>
      <c r="M101" t="s">
        <v>275</v>
      </c>
      <c r="N101" t="s">
        <v>235</v>
      </c>
      <c r="O101" s="4" t="s">
        <v>1779</v>
      </c>
      <c r="P101" t="s">
        <v>1505</v>
      </c>
      <c r="Q101" t="s">
        <v>569</v>
      </c>
      <c r="R101" s="4" t="s">
        <v>1780</v>
      </c>
    </row>
    <row r="102" spans="1:18" ht="29" x14ac:dyDescent="0.35">
      <c r="A102" s="16" t="s">
        <v>1498</v>
      </c>
      <c r="B102" t="s">
        <v>1781</v>
      </c>
      <c r="C102">
        <v>2020</v>
      </c>
      <c r="D102" t="s">
        <v>1782</v>
      </c>
      <c r="E102" t="s">
        <v>1783</v>
      </c>
      <c r="F102" s="4" t="s">
        <v>1784</v>
      </c>
      <c r="G102" t="s">
        <v>183</v>
      </c>
      <c r="H102" s="17" t="s">
        <v>1785</v>
      </c>
      <c r="I102" t="s">
        <v>227</v>
      </c>
      <c r="J102" t="s">
        <v>1220</v>
      </c>
      <c r="K102" t="s">
        <v>1503</v>
      </c>
      <c r="L102" t="s">
        <v>238</v>
      </c>
      <c r="M102" t="s">
        <v>275</v>
      </c>
      <c r="N102" t="s">
        <v>235</v>
      </c>
      <c r="O102" s="4" t="s">
        <v>1786</v>
      </c>
      <c r="P102" t="s">
        <v>1505</v>
      </c>
      <c r="Q102" t="s">
        <v>569</v>
      </c>
      <c r="R102" s="4" t="s">
        <v>1787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B528-087E-4779-97AE-DAC14630A4AC}">
  <dimension ref="A1:W147"/>
  <sheetViews>
    <sheetView topLeftCell="B1" workbookViewId="0">
      <pane ySplit="1" topLeftCell="A119" activePane="bottomLeft" state="frozen"/>
      <selection activeCell="S1" sqref="S1"/>
      <selection pane="bottomLeft" activeCell="D137" sqref="D137"/>
    </sheetView>
  </sheetViews>
  <sheetFormatPr defaultRowHeight="14.5" x14ac:dyDescent="0.35"/>
  <cols>
    <col min="1" max="1" width="42.1796875" bestFit="1" customWidth="1"/>
    <col min="2" max="2" width="100.7265625" bestFit="1" customWidth="1"/>
    <col min="3" max="3" width="4.81640625" bestFit="1" customWidth="1"/>
    <col min="4" max="4" width="98.1796875" bestFit="1" customWidth="1"/>
    <col min="5" max="5" width="50.81640625" bestFit="1" customWidth="1"/>
    <col min="6" max="6" width="83.6328125" bestFit="1" customWidth="1"/>
    <col min="7" max="7" width="35.453125" bestFit="1" customWidth="1"/>
    <col min="8" max="8" width="52.1796875" bestFit="1" customWidth="1"/>
    <col min="9" max="9" width="10.453125" bestFit="1" customWidth="1"/>
    <col min="10" max="10" width="23.08984375" bestFit="1" customWidth="1"/>
    <col min="11" max="11" width="16.1796875" bestFit="1" customWidth="1"/>
    <col min="12" max="12" width="6.36328125" bestFit="1" customWidth="1"/>
    <col min="13" max="13" width="13.08984375" bestFit="1" customWidth="1"/>
    <col min="14" max="14" width="23.6328125" customWidth="1"/>
    <col min="15" max="15" width="61.81640625" customWidth="1"/>
    <col min="16" max="16" width="10" customWidth="1"/>
    <col min="17" max="17" width="15.453125" customWidth="1"/>
    <col min="18" max="18" width="58.1796875" customWidth="1"/>
    <col min="19" max="19" width="15.453125" bestFit="1" customWidth="1"/>
    <col min="21" max="21" width="27.26953125" customWidth="1"/>
    <col min="22" max="22" width="62.1796875" bestFit="1" customWidth="1"/>
    <col min="23" max="23" width="20" customWidth="1"/>
  </cols>
  <sheetData>
    <row r="1" spans="1:23" s="1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266</v>
      </c>
      <c r="K1" s="12" t="s">
        <v>267</v>
      </c>
      <c r="L1" s="12" t="s">
        <v>268</v>
      </c>
      <c r="M1" s="12" t="s">
        <v>269</v>
      </c>
      <c r="N1" s="12" t="s">
        <v>458</v>
      </c>
      <c r="O1" s="13" t="s">
        <v>459</v>
      </c>
      <c r="P1" s="12" t="s">
        <v>565</v>
      </c>
      <c r="Q1" s="12" t="s">
        <v>566</v>
      </c>
      <c r="R1" s="13" t="s">
        <v>567</v>
      </c>
      <c r="S1" s="12" t="s">
        <v>2046</v>
      </c>
      <c r="T1" s="12" t="s">
        <v>2047</v>
      </c>
      <c r="U1" s="12" t="s">
        <v>2165</v>
      </c>
      <c r="V1" s="12" t="s">
        <v>2166</v>
      </c>
      <c r="W1" s="12" t="s">
        <v>2641</v>
      </c>
    </row>
    <row r="2" spans="1:23" x14ac:dyDescent="0.35">
      <c r="A2" s="14" t="s">
        <v>9</v>
      </c>
      <c r="B2" t="s">
        <v>20</v>
      </c>
      <c r="C2">
        <v>2014</v>
      </c>
      <c r="D2" s="8" t="s">
        <v>59</v>
      </c>
      <c r="E2" t="s">
        <v>98</v>
      </c>
      <c r="F2" t="s">
        <v>135</v>
      </c>
      <c r="G2" t="s">
        <v>174</v>
      </c>
      <c r="H2" s="1" t="s">
        <v>186</v>
      </c>
      <c r="I2" t="s">
        <v>225</v>
      </c>
      <c r="J2" t="s">
        <v>270</v>
      </c>
      <c r="K2" t="s">
        <v>271</v>
      </c>
      <c r="L2" t="s">
        <v>238</v>
      </c>
      <c r="M2" t="s">
        <v>272</v>
      </c>
      <c r="N2" t="s">
        <v>229</v>
      </c>
      <c r="O2" s="4" t="s">
        <v>230</v>
      </c>
      <c r="P2" t="s">
        <v>568</v>
      </c>
      <c r="Q2" t="s">
        <v>569</v>
      </c>
      <c r="R2" s="4"/>
      <c r="S2" t="s">
        <v>568</v>
      </c>
      <c r="T2" t="s">
        <v>382</v>
      </c>
      <c r="U2">
        <v>3.1</v>
      </c>
      <c r="W2" t="str">
        <f>IF(COUNTIF('Survey 2 Papers'!$D:$D,D2)&gt;0,"Shared with S2","Unique")</f>
        <v>Unique</v>
      </c>
    </row>
    <row r="3" spans="1:23" x14ac:dyDescent="0.35">
      <c r="A3" s="14" t="s">
        <v>9</v>
      </c>
      <c r="B3" t="s">
        <v>21</v>
      </c>
      <c r="C3">
        <v>2019</v>
      </c>
      <c r="D3" s="9" t="s">
        <v>2155</v>
      </c>
      <c r="E3" t="s">
        <v>2156</v>
      </c>
      <c r="F3" t="s">
        <v>136</v>
      </c>
      <c r="G3" t="s">
        <v>175</v>
      </c>
      <c r="H3" t="s">
        <v>2157</v>
      </c>
      <c r="I3" t="s">
        <v>226</v>
      </c>
      <c r="J3" t="s">
        <v>270</v>
      </c>
      <c r="K3" t="s">
        <v>271</v>
      </c>
      <c r="L3" t="s">
        <v>238</v>
      </c>
      <c r="M3" t="s">
        <v>272</v>
      </c>
      <c r="N3" t="s">
        <v>231</v>
      </c>
      <c r="O3" s="4" t="s">
        <v>232</v>
      </c>
      <c r="P3" t="s">
        <v>568</v>
      </c>
      <c r="Q3" t="s">
        <v>569</v>
      </c>
      <c r="R3" s="4"/>
      <c r="S3" t="s">
        <v>568</v>
      </c>
      <c r="T3" t="s">
        <v>382</v>
      </c>
      <c r="U3">
        <v>3.1</v>
      </c>
      <c r="V3" t="s">
        <v>2167</v>
      </c>
      <c r="W3" t="str">
        <f>IF(COUNTIF('Survey 2 Papers'!$D:$D,D3)&gt;0,"Shared with S2","Unique")</f>
        <v>Unique</v>
      </c>
    </row>
    <row r="4" spans="1:23" x14ac:dyDescent="0.35">
      <c r="A4" s="14" t="s">
        <v>9</v>
      </c>
      <c r="B4" t="s">
        <v>22</v>
      </c>
      <c r="C4">
        <v>2020</v>
      </c>
      <c r="D4" s="8" t="s">
        <v>61</v>
      </c>
      <c r="E4" t="s">
        <v>100</v>
      </c>
      <c r="F4" t="s">
        <v>137</v>
      </c>
      <c r="G4" t="s">
        <v>174</v>
      </c>
      <c r="H4" s="1" t="s">
        <v>188</v>
      </c>
      <c r="I4" t="s">
        <v>225</v>
      </c>
      <c r="J4" t="s">
        <v>270</v>
      </c>
      <c r="K4" t="s">
        <v>271</v>
      </c>
      <c r="L4" t="s">
        <v>238</v>
      </c>
      <c r="M4" t="s">
        <v>272</v>
      </c>
      <c r="N4" t="s">
        <v>255</v>
      </c>
      <c r="O4" s="4" t="s">
        <v>460</v>
      </c>
      <c r="P4" t="s">
        <v>568</v>
      </c>
      <c r="Q4" t="s">
        <v>569</v>
      </c>
      <c r="R4" s="4"/>
      <c r="S4" t="s">
        <v>568</v>
      </c>
      <c r="T4" t="s">
        <v>382</v>
      </c>
      <c r="U4">
        <v>3.1</v>
      </c>
      <c r="W4" t="str">
        <f>IF(COUNTIF('Survey 2 Papers'!$D:$D,D4)&gt;0,"Shared with S2","Unique")</f>
        <v>Unique</v>
      </c>
    </row>
    <row r="5" spans="1:23" x14ac:dyDescent="0.35">
      <c r="A5" s="14" t="s">
        <v>9</v>
      </c>
      <c r="B5" t="s">
        <v>23</v>
      </c>
      <c r="C5">
        <v>2021</v>
      </c>
      <c r="D5" s="8" t="s">
        <v>62</v>
      </c>
      <c r="E5" t="s">
        <v>101</v>
      </c>
      <c r="F5" t="s">
        <v>138</v>
      </c>
      <c r="G5" t="s">
        <v>176</v>
      </c>
      <c r="H5" t="s">
        <v>189</v>
      </c>
      <c r="I5" t="s">
        <v>225</v>
      </c>
      <c r="J5" t="s">
        <v>273</v>
      </c>
      <c r="K5" t="s">
        <v>271</v>
      </c>
      <c r="L5" t="s">
        <v>238</v>
      </c>
      <c r="M5" t="s">
        <v>272</v>
      </c>
      <c r="N5" t="s">
        <v>233</v>
      </c>
      <c r="O5" s="4" t="s">
        <v>461</v>
      </c>
      <c r="P5" t="s">
        <v>570</v>
      </c>
      <c r="Q5" t="s">
        <v>569</v>
      </c>
      <c r="R5" s="4"/>
      <c r="S5" t="s">
        <v>568</v>
      </c>
      <c r="T5" t="s">
        <v>382</v>
      </c>
      <c r="U5">
        <v>3.2</v>
      </c>
      <c r="W5" t="str">
        <f>IF(COUNTIF('Survey 2 Papers'!$D:$D,D5)&gt;0,"Shared with S2","Unique")</f>
        <v>Unique</v>
      </c>
    </row>
    <row r="6" spans="1:23" x14ac:dyDescent="0.35">
      <c r="A6" s="14" t="s">
        <v>10</v>
      </c>
      <c r="B6" t="s">
        <v>25</v>
      </c>
      <c r="C6">
        <v>2017</v>
      </c>
      <c r="D6" s="8" t="s">
        <v>64</v>
      </c>
      <c r="E6" t="s">
        <v>103</v>
      </c>
      <c r="F6" t="s">
        <v>140</v>
      </c>
      <c r="G6" t="s">
        <v>177</v>
      </c>
      <c r="H6" t="s">
        <v>191</v>
      </c>
      <c r="I6" t="s">
        <v>225</v>
      </c>
      <c r="J6" t="s">
        <v>276</v>
      </c>
      <c r="K6" t="s">
        <v>271</v>
      </c>
      <c r="L6" t="s">
        <v>238</v>
      </c>
      <c r="M6" t="s">
        <v>272</v>
      </c>
      <c r="N6" t="s">
        <v>234</v>
      </c>
      <c r="O6" s="4" t="s">
        <v>463</v>
      </c>
      <c r="P6" t="s">
        <v>571</v>
      </c>
      <c r="Q6" t="s">
        <v>569</v>
      </c>
      <c r="R6" s="4"/>
      <c r="S6" t="s">
        <v>2043</v>
      </c>
      <c r="T6" t="s">
        <v>382</v>
      </c>
      <c r="U6">
        <v>3.2</v>
      </c>
      <c r="W6" t="str">
        <f>IF(COUNTIF('Survey 2 Papers'!$D:$D,D6)&gt;0,"Shared with S2","Unique")</f>
        <v>Shared with S2</v>
      </c>
    </row>
    <row r="7" spans="1:23" x14ac:dyDescent="0.35">
      <c r="A7" s="14" t="s">
        <v>10</v>
      </c>
      <c r="B7" t="s">
        <v>26</v>
      </c>
      <c r="C7">
        <v>2019</v>
      </c>
      <c r="D7" s="8" t="s">
        <v>65</v>
      </c>
      <c r="E7" t="s">
        <v>2158</v>
      </c>
      <c r="F7" t="s">
        <v>141</v>
      </c>
      <c r="G7" t="s">
        <v>174</v>
      </c>
      <c r="H7" t="s">
        <v>2159</v>
      </c>
      <c r="I7" t="s">
        <v>226</v>
      </c>
      <c r="J7" t="s">
        <v>276</v>
      </c>
      <c r="K7" t="s">
        <v>271</v>
      </c>
      <c r="L7" t="s">
        <v>238</v>
      </c>
      <c r="M7" t="s">
        <v>272</v>
      </c>
      <c r="N7" t="s">
        <v>240</v>
      </c>
      <c r="O7" s="4" t="s">
        <v>464</v>
      </c>
      <c r="P7" t="s">
        <v>571</v>
      </c>
      <c r="Q7" t="s">
        <v>569</v>
      </c>
      <c r="R7" s="4"/>
      <c r="S7" t="s">
        <v>2043</v>
      </c>
      <c r="T7" t="s">
        <v>382</v>
      </c>
      <c r="U7">
        <v>3.2</v>
      </c>
      <c r="V7" t="s">
        <v>2168</v>
      </c>
      <c r="W7" t="str">
        <f>IF(COUNTIF('Survey 2 Papers'!$D:$D,D7)&gt;0,"Shared with S2","Unique")</f>
        <v>Shared with S2</v>
      </c>
    </row>
    <row r="8" spans="1:23" x14ac:dyDescent="0.35">
      <c r="A8" s="14" t="s">
        <v>10</v>
      </c>
      <c r="B8" t="s">
        <v>27</v>
      </c>
      <c r="C8">
        <v>2019</v>
      </c>
      <c r="D8" s="8" t="s">
        <v>66</v>
      </c>
      <c r="E8" t="s">
        <v>105</v>
      </c>
      <c r="F8" t="s">
        <v>142</v>
      </c>
      <c r="G8" t="s">
        <v>178</v>
      </c>
      <c r="H8" t="s">
        <v>193</v>
      </c>
      <c r="I8" t="s">
        <v>225</v>
      </c>
      <c r="J8" t="s">
        <v>276</v>
      </c>
      <c r="K8" t="s">
        <v>271</v>
      </c>
      <c r="L8" t="s">
        <v>238</v>
      </c>
      <c r="M8" t="s">
        <v>272</v>
      </c>
      <c r="N8" t="s">
        <v>235</v>
      </c>
      <c r="O8" s="4" t="s">
        <v>236</v>
      </c>
      <c r="P8" t="s">
        <v>571</v>
      </c>
      <c r="Q8" t="s">
        <v>569</v>
      </c>
      <c r="R8" s="4"/>
      <c r="S8" t="s">
        <v>2043</v>
      </c>
      <c r="T8" t="s">
        <v>382</v>
      </c>
      <c r="U8">
        <v>3.2</v>
      </c>
      <c r="W8" t="str">
        <f>IF(COUNTIF('Survey 2 Papers'!$D:$D,D8)&gt;0,"Shared with S2","Unique")</f>
        <v>Unique</v>
      </c>
    </row>
    <row r="9" spans="1:23" x14ac:dyDescent="0.35">
      <c r="A9" s="14" t="s">
        <v>10</v>
      </c>
      <c r="B9" t="s">
        <v>28</v>
      </c>
      <c r="C9">
        <v>2020</v>
      </c>
      <c r="D9" s="8" t="s">
        <v>67</v>
      </c>
      <c r="E9" t="s">
        <v>2160</v>
      </c>
      <c r="F9" t="s">
        <v>143</v>
      </c>
      <c r="G9" t="s">
        <v>174</v>
      </c>
      <c r="H9" t="s">
        <v>2161</v>
      </c>
      <c r="I9" t="s">
        <v>227</v>
      </c>
      <c r="J9" t="s">
        <v>277</v>
      </c>
      <c r="K9" t="s">
        <v>271</v>
      </c>
      <c r="L9" t="s">
        <v>238</v>
      </c>
      <c r="M9" t="s">
        <v>272</v>
      </c>
      <c r="N9" t="s">
        <v>235</v>
      </c>
      <c r="O9" s="4" t="s">
        <v>237</v>
      </c>
      <c r="P9" t="s">
        <v>568</v>
      </c>
      <c r="Q9" t="s">
        <v>569</v>
      </c>
      <c r="R9" s="4"/>
      <c r="S9" t="s">
        <v>2043</v>
      </c>
      <c r="T9" t="s">
        <v>382</v>
      </c>
      <c r="U9">
        <v>3.2</v>
      </c>
      <c r="V9" t="s">
        <v>2169</v>
      </c>
      <c r="W9" t="str">
        <f>IF(COUNTIF('Survey 2 Papers'!$D:$D,D9)&gt;0,"Shared with S2","Unique")</f>
        <v>Unique</v>
      </c>
    </row>
    <row r="10" spans="1:23" x14ac:dyDescent="0.35">
      <c r="A10" s="14" t="s">
        <v>13</v>
      </c>
      <c r="B10" t="s">
        <v>36</v>
      </c>
      <c r="C10">
        <v>2014</v>
      </c>
      <c r="D10" s="8" t="s">
        <v>75</v>
      </c>
      <c r="E10" t="s">
        <v>114</v>
      </c>
      <c r="F10" t="s">
        <v>151</v>
      </c>
      <c r="G10" t="s">
        <v>174</v>
      </c>
      <c r="H10" s="1" t="s">
        <v>202</v>
      </c>
      <c r="I10" t="s">
        <v>226</v>
      </c>
      <c r="J10" t="s">
        <v>276</v>
      </c>
      <c r="K10" t="s">
        <v>271</v>
      </c>
      <c r="L10" t="s">
        <v>238</v>
      </c>
      <c r="M10" t="s">
        <v>275</v>
      </c>
      <c r="N10" t="s">
        <v>231</v>
      </c>
      <c r="O10" s="4" t="s">
        <v>247</v>
      </c>
      <c r="P10" t="s">
        <v>571</v>
      </c>
      <c r="Q10" t="s">
        <v>569</v>
      </c>
      <c r="R10" s="4"/>
      <c r="S10" t="s">
        <v>568</v>
      </c>
      <c r="T10" t="s">
        <v>382</v>
      </c>
      <c r="U10">
        <v>3.2</v>
      </c>
      <c r="W10" t="str">
        <f>IF(COUNTIF('Survey 2 Papers'!$D:$D,D10)&gt;0,"Shared with S2","Unique")</f>
        <v>Unique</v>
      </c>
    </row>
    <row r="11" spans="1:23" x14ac:dyDescent="0.35">
      <c r="A11" s="14" t="s">
        <v>15</v>
      </c>
      <c r="B11" t="s">
        <v>44</v>
      </c>
      <c r="C11">
        <v>1996</v>
      </c>
      <c r="D11" s="8" t="s">
        <v>83</v>
      </c>
      <c r="E11" t="s">
        <v>122</v>
      </c>
      <c r="F11" t="s">
        <v>159</v>
      </c>
      <c r="G11" t="s">
        <v>174</v>
      </c>
      <c r="H11" s="1" t="s">
        <v>210</v>
      </c>
      <c r="I11" t="s">
        <v>225</v>
      </c>
      <c r="J11" t="s">
        <v>273</v>
      </c>
      <c r="K11" t="s">
        <v>271</v>
      </c>
      <c r="L11" t="s">
        <v>238</v>
      </c>
      <c r="M11" t="s">
        <v>272</v>
      </c>
      <c r="N11" t="s">
        <v>468</v>
      </c>
      <c r="O11" s="4" t="s">
        <v>469</v>
      </c>
      <c r="P11" t="s">
        <v>570</v>
      </c>
      <c r="Q11" t="s">
        <v>569</v>
      </c>
      <c r="R11" s="4"/>
      <c r="S11" t="s">
        <v>2042</v>
      </c>
      <c r="T11" t="s">
        <v>382</v>
      </c>
      <c r="U11" t="s">
        <v>2170</v>
      </c>
      <c r="W11" t="str">
        <f>IF(COUNTIF('Survey 2 Papers'!$D:$D,D11)&gt;0,"Shared with S2","Unique")</f>
        <v>Unique</v>
      </c>
    </row>
    <row r="12" spans="1:23" x14ac:dyDescent="0.35">
      <c r="A12" s="14" t="s">
        <v>15</v>
      </c>
      <c r="B12" t="s">
        <v>45</v>
      </c>
      <c r="C12">
        <v>2015</v>
      </c>
      <c r="D12" s="8" t="s">
        <v>84</v>
      </c>
      <c r="E12" t="s">
        <v>123</v>
      </c>
      <c r="F12" t="s">
        <v>160</v>
      </c>
      <c r="G12" t="s">
        <v>174</v>
      </c>
      <c r="H12" t="s">
        <v>211</v>
      </c>
      <c r="I12" t="s">
        <v>226</v>
      </c>
      <c r="J12" t="s">
        <v>278</v>
      </c>
      <c r="K12" t="s">
        <v>271</v>
      </c>
      <c r="L12" t="s">
        <v>238</v>
      </c>
      <c r="M12" t="s">
        <v>272</v>
      </c>
      <c r="N12" t="s">
        <v>240</v>
      </c>
      <c r="O12" s="4" t="s">
        <v>260</v>
      </c>
      <c r="P12" t="s">
        <v>568</v>
      </c>
      <c r="Q12" t="s">
        <v>569</v>
      </c>
      <c r="R12" s="4"/>
      <c r="S12" t="s">
        <v>2042</v>
      </c>
      <c r="T12" t="s">
        <v>382</v>
      </c>
      <c r="U12">
        <v>3.4</v>
      </c>
      <c r="W12" t="str">
        <f>IF(COUNTIF('Survey 2 Papers'!$D:$D,D12)&gt;0,"Shared with S2","Unique")</f>
        <v>Unique</v>
      </c>
    </row>
    <row r="13" spans="1:23" x14ac:dyDescent="0.35">
      <c r="A13" s="14" t="s">
        <v>15</v>
      </c>
      <c r="B13" t="s">
        <v>46</v>
      </c>
      <c r="C13">
        <v>2015</v>
      </c>
      <c r="D13" s="8" t="s">
        <v>85</v>
      </c>
      <c r="E13" t="s">
        <v>124</v>
      </c>
      <c r="F13" t="s">
        <v>161</v>
      </c>
      <c r="G13" t="s">
        <v>182</v>
      </c>
      <c r="H13" s="1" t="s">
        <v>212</v>
      </c>
      <c r="I13" t="s">
        <v>227</v>
      </c>
      <c r="J13" t="s">
        <v>278</v>
      </c>
      <c r="K13" t="s">
        <v>271</v>
      </c>
      <c r="L13" t="s">
        <v>238</v>
      </c>
      <c r="M13" t="s">
        <v>275</v>
      </c>
      <c r="N13" t="s">
        <v>240</v>
      </c>
      <c r="O13" s="4" t="s">
        <v>259</v>
      </c>
      <c r="P13" t="s">
        <v>568</v>
      </c>
      <c r="Q13" t="s">
        <v>569</v>
      </c>
      <c r="R13" s="4"/>
      <c r="S13" t="s">
        <v>2042</v>
      </c>
      <c r="T13" t="s">
        <v>382</v>
      </c>
      <c r="U13">
        <v>3.4</v>
      </c>
      <c r="W13" t="str">
        <f>IF(COUNTIF('Survey 2 Papers'!$D:$D,D13)&gt;0,"Shared with S2","Unique")</f>
        <v>Unique</v>
      </c>
    </row>
    <row r="14" spans="1:23" x14ac:dyDescent="0.35">
      <c r="A14" s="14" t="s">
        <v>16</v>
      </c>
      <c r="B14" t="s">
        <v>47</v>
      </c>
      <c r="C14">
        <v>2009</v>
      </c>
      <c r="D14" s="8" t="s">
        <v>2162</v>
      </c>
      <c r="E14" t="s">
        <v>125</v>
      </c>
      <c r="F14" t="s">
        <v>162</v>
      </c>
      <c r="G14" t="s">
        <v>174</v>
      </c>
      <c r="H14" s="1" t="s">
        <v>213</v>
      </c>
      <c r="I14" t="s">
        <v>226</v>
      </c>
      <c r="J14" t="s">
        <v>270</v>
      </c>
      <c r="K14" t="s">
        <v>271</v>
      </c>
      <c r="L14" t="s">
        <v>238</v>
      </c>
      <c r="M14" t="s">
        <v>275</v>
      </c>
      <c r="N14" t="s">
        <v>240</v>
      </c>
      <c r="O14" s="4" t="s">
        <v>257</v>
      </c>
      <c r="P14" t="s">
        <v>568</v>
      </c>
      <c r="Q14" t="s">
        <v>569</v>
      </c>
      <c r="R14" s="4"/>
      <c r="S14" t="s">
        <v>2042</v>
      </c>
      <c r="T14" t="s">
        <v>382</v>
      </c>
      <c r="U14" t="s">
        <v>2171</v>
      </c>
      <c r="V14" t="s">
        <v>2172</v>
      </c>
      <c r="W14" t="str">
        <f>IF(COUNTIF('Survey 2 Papers'!$D:$D,D14)&gt;0,"Shared with S2","Unique")</f>
        <v>Unique</v>
      </c>
    </row>
    <row r="15" spans="1:23" x14ac:dyDescent="0.35">
      <c r="A15" s="14" t="s">
        <v>17</v>
      </c>
      <c r="B15" t="s">
        <v>52</v>
      </c>
      <c r="C15">
        <v>2020</v>
      </c>
      <c r="D15" s="8" t="s">
        <v>91</v>
      </c>
      <c r="E15" t="s">
        <v>129</v>
      </c>
      <c r="F15" t="s">
        <v>167</v>
      </c>
      <c r="G15" t="s">
        <v>174</v>
      </c>
      <c r="H15" t="s">
        <v>218</v>
      </c>
      <c r="I15" t="s">
        <v>226</v>
      </c>
      <c r="J15" t="s">
        <v>270</v>
      </c>
      <c r="K15" t="s">
        <v>271</v>
      </c>
      <c r="L15" t="s">
        <v>238</v>
      </c>
      <c r="M15" t="s">
        <v>272</v>
      </c>
      <c r="N15" t="s">
        <v>255</v>
      </c>
      <c r="O15" s="4" t="s">
        <v>256</v>
      </c>
      <c r="P15" t="s">
        <v>568</v>
      </c>
      <c r="Q15" t="s">
        <v>569</v>
      </c>
      <c r="R15" s="4"/>
      <c r="S15" t="s">
        <v>2042</v>
      </c>
      <c r="T15" t="s">
        <v>382</v>
      </c>
      <c r="U15">
        <v>3.1</v>
      </c>
      <c r="W15" t="str">
        <f>IF(COUNTIF('Survey 2 Papers'!$D:$D,D15)&gt;0,"Shared with S2","Unique")</f>
        <v>Unique</v>
      </c>
    </row>
    <row r="16" spans="1:23" x14ac:dyDescent="0.35">
      <c r="A16" s="14" t="s">
        <v>18</v>
      </c>
      <c r="B16" t="s">
        <v>53</v>
      </c>
      <c r="C16">
        <v>2012</v>
      </c>
      <c r="D16" s="8" t="s">
        <v>92</v>
      </c>
      <c r="E16" t="s">
        <v>130</v>
      </c>
      <c r="F16" t="s">
        <v>168</v>
      </c>
      <c r="G16" t="s">
        <v>175</v>
      </c>
      <c r="H16" t="s">
        <v>219</v>
      </c>
      <c r="I16" t="s">
        <v>225</v>
      </c>
      <c r="J16" t="s">
        <v>282</v>
      </c>
      <c r="K16" t="s">
        <v>283</v>
      </c>
      <c r="L16" t="s">
        <v>284</v>
      </c>
      <c r="M16" t="s">
        <v>285</v>
      </c>
      <c r="N16" t="s">
        <v>261</v>
      </c>
      <c r="O16" s="4" t="s">
        <v>472</v>
      </c>
      <c r="P16" t="s">
        <v>573</v>
      </c>
      <c r="Q16" t="s">
        <v>569</v>
      </c>
      <c r="R16" s="4"/>
      <c r="S16" t="s">
        <v>568</v>
      </c>
      <c r="T16" t="s">
        <v>382</v>
      </c>
      <c r="U16" t="s">
        <v>2173</v>
      </c>
      <c r="W16" t="str">
        <f>IF(COUNTIF('Survey 2 Papers'!$D:$D,D16)&gt;0,"Shared with S2","Unique")</f>
        <v>Shared with S2</v>
      </c>
    </row>
    <row r="17" spans="1:23" x14ac:dyDescent="0.35">
      <c r="A17" s="14" t="s">
        <v>18</v>
      </c>
      <c r="B17" t="s">
        <v>54</v>
      </c>
      <c r="C17">
        <v>2018</v>
      </c>
      <c r="D17" s="8" t="s">
        <v>93</v>
      </c>
      <c r="E17" t="s">
        <v>131</v>
      </c>
      <c r="F17" t="s">
        <v>169</v>
      </c>
      <c r="G17" t="s">
        <v>174</v>
      </c>
      <c r="H17" t="s">
        <v>220</v>
      </c>
      <c r="I17" t="s">
        <v>225</v>
      </c>
      <c r="J17" t="s">
        <v>273</v>
      </c>
      <c r="K17" t="s">
        <v>271</v>
      </c>
      <c r="L17" t="s">
        <v>238</v>
      </c>
      <c r="M17" t="s">
        <v>272</v>
      </c>
      <c r="N17" t="s">
        <v>249</v>
      </c>
      <c r="O17" s="4" t="s">
        <v>264</v>
      </c>
      <c r="P17" t="s">
        <v>574</v>
      </c>
      <c r="Q17" t="s">
        <v>569</v>
      </c>
      <c r="R17" s="4"/>
      <c r="S17" t="s">
        <v>568</v>
      </c>
      <c r="T17" t="s">
        <v>382</v>
      </c>
      <c r="U17" t="s">
        <v>2174</v>
      </c>
      <c r="W17" t="str">
        <f>IF(COUNTIF('Survey 2 Papers'!$D:$D,D17)&gt;0,"Shared with S2","Unique")</f>
        <v>Shared with S2</v>
      </c>
    </row>
    <row r="18" spans="1:23" x14ac:dyDescent="0.35">
      <c r="A18" s="14" t="s">
        <v>18</v>
      </c>
      <c r="B18" t="s">
        <v>55</v>
      </c>
      <c r="C18">
        <v>2020</v>
      </c>
      <c r="D18" s="8" t="s">
        <v>94</v>
      </c>
      <c r="E18" t="s">
        <v>127</v>
      </c>
      <c r="F18" t="s">
        <v>170</v>
      </c>
      <c r="G18" t="s">
        <v>183</v>
      </c>
      <c r="H18" s="1" t="s">
        <v>221</v>
      </c>
      <c r="I18" t="s">
        <v>226</v>
      </c>
      <c r="J18" t="s">
        <v>273</v>
      </c>
      <c r="K18" t="s">
        <v>283</v>
      </c>
      <c r="L18" t="s">
        <v>284</v>
      </c>
      <c r="M18" t="s">
        <v>275</v>
      </c>
      <c r="N18" t="s">
        <v>240</v>
      </c>
      <c r="O18" s="4" t="s">
        <v>473</v>
      </c>
      <c r="P18" t="s">
        <v>575</v>
      </c>
      <c r="Q18" t="s">
        <v>569</v>
      </c>
      <c r="R18" s="4"/>
      <c r="S18" t="s">
        <v>568</v>
      </c>
      <c r="T18" t="s">
        <v>382</v>
      </c>
      <c r="U18" t="s">
        <v>2175</v>
      </c>
      <c r="W18" t="str">
        <f>IF(COUNTIF('Survey 2 Papers'!$D:$D,D18)&gt;0,"Shared with S2","Unique")</f>
        <v>Shared with S2</v>
      </c>
    </row>
    <row r="19" spans="1:23" x14ac:dyDescent="0.35">
      <c r="A19" s="14" t="s">
        <v>18</v>
      </c>
      <c r="B19" t="s">
        <v>56</v>
      </c>
      <c r="C19">
        <v>2021</v>
      </c>
      <c r="D19" s="8" t="s">
        <v>2163</v>
      </c>
      <c r="E19" t="s">
        <v>132</v>
      </c>
      <c r="F19" t="s">
        <v>171</v>
      </c>
      <c r="G19" t="s">
        <v>174</v>
      </c>
      <c r="H19" t="s">
        <v>222</v>
      </c>
      <c r="I19" t="s">
        <v>226</v>
      </c>
      <c r="J19" t="s">
        <v>276</v>
      </c>
      <c r="K19" t="s">
        <v>271</v>
      </c>
      <c r="L19" t="s">
        <v>284</v>
      </c>
      <c r="M19" t="s">
        <v>275</v>
      </c>
      <c r="N19" t="s">
        <v>240</v>
      </c>
      <c r="O19" s="4" t="s">
        <v>474</v>
      </c>
      <c r="P19" t="s">
        <v>575</v>
      </c>
      <c r="Q19" t="s">
        <v>569</v>
      </c>
      <c r="R19" s="4"/>
      <c r="S19" t="s">
        <v>568</v>
      </c>
      <c r="T19" t="s">
        <v>382</v>
      </c>
      <c r="U19" t="s">
        <v>2176</v>
      </c>
      <c r="V19" t="s">
        <v>2172</v>
      </c>
      <c r="W19" t="str">
        <f>IF(COUNTIF('Survey 2 Papers'!$D:$D,D19)&gt;0,"Shared with S2","Unique")</f>
        <v>Shared with S2</v>
      </c>
    </row>
    <row r="20" spans="1:23" x14ac:dyDescent="0.35">
      <c r="A20" s="14" t="s">
        <v>19</v>
      </c>
      <c r="B20" t="s">
        <v>58</v>
      </c>
      <c r="C20">
        <v>2005</v>
      </c>
      <c r="D20" s="8" t="s">
        <v>97</v>
      </c>
      <c r="E20" t="s">
        <v>134</v>
      </c>
      <c r="F20" t="s">
        <v>173</v>
      </c>
      <c r="G20" t="s">
        <v>185</v>
      </c>
      <c r="H20" s="1" t="s">
        <v>224</v>
      </c>
      <c r="I20" t="s">
        <v>225</v>
      </c>
      <c r="J20" t="s">
        <v>273</v>
      </c>
      <c r="K20" t="s">
        <v>280</v>
      </c>
      <c r="L20" t="s">
        <v>284</v>
      </c>
      <c r="M20" t="s">
        <v>275</v>
      </c>
      <c r="N20" t="s">
        <v>265</v>
      </c>
      <c r="O20" s="4" t="s">
        <v>475</v>
      </c>
      <c r="P20" t="s">
        <v>576</v>
      </c>
      <c r="Q20" t="s">
        <v>569</v>
      </c>
      <c r="R20" s="4"/>
      <c r="S20" t="s">
        <v>568</v>
      </c>
      <c r="T20" t="s">
        <v>2044</v>
      </c>
      <c r="U20" t="s">
        <v>2177</v>
      </c>
      <c r="W20" t="str">
        <f>IF(COUNTIF('Survey 2 Papers'!$D:$D,D20)&gt;0,"Shared with S2","Unique")</f>
        <v>Unique</v>
      </c>
    </row>
    <row r="21" spans="1:23" x14ac:dyDescent="0.35">
      <c r="A21" s="14" t="s">
        <v>286</v>
      </c>
      <c r="B21" t="s">
        <v>287</v>
      </c>
      <c r="C21">
        <v>2012</v>
      </c>
      <c r="D21" s="10" t="s">
        <v>288</v>
      </c>
      <c r="E21" t="s">
        <v>289</v>
      </c>
      <c r="F21" t="s">
        <v>290</v>
      </c>
      <c r="G21" t="s">
        <v>291</v>
      </c>
      <c r="H21" t="s">
        <v>292</v>
      </c>
      <c r="I21" t="s">
        <v>225</v>
      </c>
      <c r="J21" t="s">
        <v>282</v>
      </c>
      <c r="K21" t="s">
        <v>283</v>
      </c>
      <c r="L21" t="s">
        <v>284</v>
      </c>
      <c r="M21" t="s">
        <v>285</v>
      </c>
      <c r="N21" t="s">
        <v>476</v>
      </c>
      <c r="O21" s="4" t="s">
        <v>477</v>
      </c>
      <c r="P21" t="s">
        <v>573</v>
      </c>
      <c r="Q21" t="s">
        <v>569</v>
      </c>
      <c r="R21" s="4"/>
      <c r="S21" t="s">
        <v>573</v>
      </c>
      <c r="T21" t="s">
        <v>382</v>
      </c>
      <c r="U21">
        <v>3.7</v>
      </c>
      <c r="W21" t="str">
        <f>IF(COUNTIF('Survey 2 Papers'!$D:$D,D21)&gt;0,"Shared with S2","Unique")</f>
        <v>Shared with S2</v>
      </c>
    </row>
    <row r="22" spans="1:23" ht="29" x14ac:dyDescent="0.35">
      <c r="A22" s="14" t="s">
        <v>286</v>
      </c>
      <c r="B22" t="s">
        <v>293</v>
      </c>
      <c r="C22">
        <v>2013</v>
      </c>
      <c r="D22" s="8" t="s">
        <v>294</v>
      </c>
      <c r="E22" t="s">
        <v>295</v>
      </c>
      <c r="F22" t="s">
        <v>296</v>
      </c>
      <c r="G22" t="s">
        <v>297</v>
      </c>
      <c r="H22" t="s">
        <v>298</v>
      </c>
      <c r="I22" t="s">
        <v>225</v>
      </c>
      <c r="J22" t="s">
        <v>282</v>
      </c>
      <c r="K22" t="s">
        <v>283</v>
      </c>
      <c r="L22" t="s">
        <v>284</v>
      </c>
      <c r="M22" t="s">
        <v>285</v>
      </c>
      <c r="N22" t="s">
        <v>478</v>
      </c>
      <c r="O22" s="4" t="s">
        <v>479</v>
      </c>
      <c r="P22" t="s">
        <v>573</v>
      </c>
      <c r="Q22" t="s">
        <v>569</v>
      </c>
      <c r="R22" s="4"/>
      <c r="S22" t="s">
        <v>573</v>
      </c>
      <c r="T22" t="s">
        <v>382</v>
      </c>
      <c r="U22">
        <v>3.7</v>
      </c>
      <c r="W22" t="str">
        <f>IF(COUNTIF('Survey 2 Papers'!$D:$D,D22)&gt;0,"Shared with S2","Unique")</f>
        <v>Shared with S2</v>
      </c>
    </row>
    <row r="23" spans="1:23" x14ac:dyDescent="0.35">
      <c r="A23" s="14" t="s">
        <v>286</v>
      </c>
      <c r="B23" t="s">
        <v>293</v>
      </c>
      <c r="C23">
        <v>2022</v>
      </c>
      <c r="D23" s="8" t="s">
        <v>299</v>
      </c>
      <c r="E23" t="s">
        <v>300</v>
      </c>
      <c r="F23" t="s">
        <v>301</v>
      </c>
      <c r="G23" t="s">
        <v>302</v>
      </c>
      <c r="H23" t="s">
        <v>303</v>
      </c>
      <c r="I23" t="s">
        <v>225</v>
      </c>
      <c r="J23" t="s">
        <v>282</v>
      </c>
      <c r="K23" t="s">
        <v>283</v>
      </c>
      <c r="L23" t="s">
        <v>284</v>
      </c>
      <c r="M23" t="s">
        <v>285</v>
      </c>
      <c r="N23" t="s">
        <v>233</v>
      </c>
      <c r="O23" s="4" t="s">
        <v>480</v>
      </c>
      <c r="P23" t="s">
        <v>573</v>
      </c>
      <c r="Q23" t="s">
        <v>569</v>
      </c>
      <c r="R23" s="4"/>
      <c r="S23" t="s">
        <v>573</v>
      </c>
      <c r="T23" t="s">
        <v>382</v>
      </c>
      <c r="U23">
        <v>3.7</v>
      </c>
      <c r="W23" t="str">
        <f>IF(COUNTIF('Survey 2 Papers'!$D:$D,D23)&gt;0,"Shared with S2","Unique")</f>
        <v>Shared with S2</v>
      </c>
    </row>
    <row r="24" spans="1:23" ht="29" x14ac:dyDescent="0.35">
      <c r="A24" s="14" t="s">
        <v>332</v>
      </c>
      <c r="B24" t="s">
        <v>333</v>
      </c>
      <c r="C24">
        <v>2024</v>
      </c>
      <c r="D24" s="10" t="s">
        <v>334</v>
      </c>
      <c r="E24" t="s">
        <v>335</v>
      </c>
      <c r="F24" t="s">
        <v>336</v>
      </c>
      <c r="G24" t="s">
        <v>174</v>
      </c>
      <c r="H24" t="s">
        <v>337</v>
      </c>
      <c r="I24" t="s">
        <v>225</v>
      </c>
      <c r="J24" t="s">
        <v>273</v>
      </c>
      <c r="K24" t="s">
        <v>283</v>
      </c>
      <c r="L24" t="s">
        <v>238</v>
      </c>
      <c r="M24" t="s">
        <v>285</v>
      </c>
      <c r="N24" t="s">
        <v>238</v>
      </c>
      <c r="O24" s="4" t="s">
        <v>488</v>
      </c>
      <c r="P24" t="s">
        <v>576</v>
      </c>
      <c r="Q24" t="s">
        <v>569</v>
      </c>
      <c r="R24" s="4"/>
      <c r="S24" t="s">
        <v>573</v>
      </c>
      <c r="T24" t="s">
        <v>382</v>
      </c>
      <c r="U24" t="s">
        <v>2178</v>
      </c>
      <c r="W24" t="str">
        <f>IF(COUNTIF('Survey 2 Papers'!$D:$D,D24)&gt;0,"Shared with S2","Unique")</f>
        <v>Shared with S2</v>
      </c>
    </row>
    <row r="25" spans="1:23" x14ac:dyDescent="0.35">
      <c r="A25" s="14" t="s">
        <v>332</v>
      </c>
      <c r="B25" t="s">
        <v>338</v>
      </c>
      <c r="C25">
        <v>2023</v>
      </c>
      <c r="D25" s="8" t="s">
        <v>339</v>
      </c>
      <c r="E25" t="s">
        <v>340</v>
      </c>
      <c r="F25" t="s">
        <v>341</v>
      </c>
      <c r="G25" t="s">
        <v>174</v>
      </c>
      <c r="H25" t="s">
        <v>342</v>
      </c>
      <c r="I25" t="s">
        <v>225</v>
      </c>
      <c r="J25" t="s">
        <v>282</v>
      </c>
      <c r="K25" t="s">
        <v>271</v>
      </c>
      <c r="L25" t="s">
        <v>284</v>
      </c>
      <c r="M25" t="s">
        <v>285</v>
      </c>
      <c r="N25" t="s">
        <v>255</v>
      </c>
      <c r="O25" s="4" t="s">
        <v>489</v>
      </c>
      <c r="P25" t="s">
        <v>573</v>
      </c>
      <c r="Q25" t="s">
        <v>569</v>
      </c>
      <c r="R25" s="4"/>
      <c r="S25" t="s">
        <v>573</v>
      </c>
      <c r="T25" t="s">
        <v>382</v>
      </c>
      <c r="U25">
        <v>3.7</v>
      </c>
      <c r="W25" t="str">
        <f>IF(COUNTIF('Survey 2 Papers'!$D:$D,D25)&gt;0,"Shared with S2","Unique")</f>
        <v>Shared with S2</v>
      </c>
    </row>
    <row r="26" spans="1:23" x14ac:dyDescent="0.35">
      <c r="A26" s="14" t="s">
        <v>332</v>
      </c>
      <c r="B26" t="s">
        <v>343</v>
      </c>
      <c r="C26">
        <v>2021</v>
      </c>
      <c r="D26" s="8" t="s">
        <v>344</v>
      </c>
      <c r="E26" t="s">
        <v>345</v>
      </c>
      <c r="F26" t="s">
        <v>346</v>
      </c>
      <c r="G26" t="s">
        <v>174</v>
      </c>
      <c r="H26" t="s">
        <v>347</v>
      </c>
      <c r="I26" t="s">
        <v>226</v>
      </c>
      <c r="J26" t="s">
        <v>282</v>
      </c>
      <c r="K26" t="s">
        <v>283</v>
      </c>
      <c r="L26" t="s">
        <v>284</v>
      </c>
      <c r="M26" t="s">
        <v>285</v>
      </c>
      <c r="N26" t="s">
        <v>490</v>
      </c>
      <c r="O26" s="4" t="s">
        <v>491</v>
      </c>
      <c r="P26" t="s">
        <v>573</v>
      </c>
      <c r="Q26" t="s">
        <v>569</v>
      </c>
      <c r="R26" s="4"/>
      <c r="S26" t="s">
        <v>573</v>
      </c>
      <c r="T26" t="s">
        <v>382</v>
      </c>
      <c r="U26" t="s">
        <v>2179</v>
      </c>
      <c r="V26" t="s">
        <v>2180</v>
      </c>
      <c r="W26" t="str">
        <f>IF(COUNTIF('Survey 2 Papers'!$D:$D,D26)&gt;0,"Shared with S2","Unique")</f>
        <v>Shared with S2</v>
      </c>
    </row>
    <row r="27" spans="1:23" x14ac:dyDescent="0.35">
      <c r="A27" s="14" t="s">
        <v>332</v>
      </c>
      <c r="B27" t="s">
        <v>348</v>
      </c>
      <c r="C27">
        <v>2025</v>
      </c>
      <c r="D27" s="8" t="s">
        <v>349</v>
      </c>
      <c r="E27" t="s">
        <v>350</v>
      </c>
      <c r="F27" t="s">
        <v>351</v>
      </c>
      <c r="G27" t="s">
        <v>174</v>
      </c>
      <c r="H27" t="s">
        <v>352</v>
      </c>
      <c r="I27" t="s">
        <v>226</v>
      </c>
      <c r="J27" t="s">
        <v>282</v>
      </c>
      <c r="K27" t="s">
        <v>271</v>
      </c>
      <c r="L27" t="s">
        <v>284</v>
      </c>
      <c r="M27" t="s">
        <v>285</v>
      </c>
      <c r="N27" t="s">
        <v>492</v>
      </c>
      <c r="O27" s="4" t="s">
        <v>493</v>
      </c>
      <c r="P27" t="s">
        <v>573</v>
      </c>
      <c r="Q27" t="s">
        <v>569</v>
      </c>
      <c r="R27" s="4"/>
      <c r="S27" t="s">
        <v>573</v>
      </c>
      <c r="T27" t="s">
        <v>382</v>
      </c>
      <c r="U27">
        <v>3.7</v>
      </c>
      <c r="W27" t="str">
        <f>IF(COUNTIF('Survey 2 Papers'!$D:$D,D27)&gt;0,"Shared with S2","Unique")</f>
        <v>Shared with S2</v>
      </c>
    </row>
    <row r="28" spans="1:23" x14ac:dyDescent="0.35">
      <c r="A28" s="14" t="s">
        <v>404</v>
      </c>
      <c r="B28" t="s">
        <v>405</v>
      </c>
      <c r="C28">
        <v>2018</v>
      </c>
      <c r="D28" s="8" t="s">
        <v>406</v>
      </c>
      <c r="E28" t="s">
        <v>407</v>
      </c>
      <c r="F28" t="s">
        <v>408</v>
      </c>
      <c r="G28" t="s">
        <v>409</v>
      </c>
      <c r="H28" t="s">
        <v>410</v>
      </c>
      <c r="I28" t="s">
        <v>225</v>
      </c>
      <c r="J28" t="s">
        <v>276</v>
      </c>
      <c r="K28" t="s">
        <v>271</v>
      </c>
      <c r="L28" t="s">
        <v>284</v>
      </c>
      <c r="M28" t="s">
        <v>285</v>
      </c>
      <c r="N28" t="s">
        <v>233</v>
      </c>
      <c r="O28" s="4" t="s">
        <v>498</v>
      </c>
      <c r="P28" t="s">
        <v>571</v>
      </c>
      <c r="Q28" t="s">
        <v>569</v>
      </c>
      <c r="R28" s="4"/>
      <c r="S28" t="s">
        <v>571</v>
      </c>
      <c r="T28" t="s">
        <v>382</v>
      </c>
      <c r="U28">
        <v>3.3</v>
      </c>
      <c r="W28" t="str">
        <f>IF(COUNTIF('Survey 2 Papers'!$D:$D,D28)&gt;0,"Shared with S2","Unique")</f>
        <v>Shared with S2</v>
      </c>
    </row>
    <row r="29" spans="1:23" x14ac:dyDescent="0.35">
      <c r="A29" s="14" t="s">
        <v>404</v>
      </c>
      <c r="B29" t="s">
        <v>411</v>
      </c>
      <c r="C29">
        <v>2014</v>
      </c>
      <c r="D29" s="8" t="s">
        <v>412</v>
      </c>
      <c r="E29" t="s">
        <v>413</v>
      </c>
      <c r="F29" t="s">
        <v>414</v>
      </c>
      <c r="G29" t="s">
        <v>174</v>
      </c>
      <c r="H29" t="s">
        <v>415</v>
      </c>
      <c r="I29" t="s">
        <v>225</v>
      </c>
      <c r="J29" t="s">
        <v>276</v>
      </c>
      <c r="K29" t="s">
        <v>271</v>
      </c>
      <c r="L29" t="s">
        <v>284</v>
      </c>
      <c r="M29" t="s">
        <v>285</v>
      </c>
      <c r="N29" t="s">
        <v>240</v>
      </c>
      <c r="O29" s="4" t="s">
        <v>499</v>
      </c>
      <c r="P29" t="s">
        <v>571</v>
      </c>
      <c r="Q29" t="s">
        <v>569</v>
      </c>
      <c r="R29" s="4"/>
      <c r="S29" t="s">
        <v>571</v>
      </c>
      <c r="T29" t="s">
        <v>382</v>
      </c>
      <c r="U29">
        <v>3.3</v>
      </c>
      <c r="W29" t="str">
        <f>IF(COUNTIF('Survey 2 Papers'!$D:$D,D29)&gt;0,"Shared with S2","Unique")</f>
        <v>Shared with S2</v>
      </c>
    </row>
    <row r="30" spans="1:23" x14ac:dyDescent="0.35">
      <c r="A30" s="14" t="s">
        <v>404</v>
      </c>
      <c r="B30" t="s">
        <v>416</v>
      </c>
      <c r="C30">
        <v>2012</v>
      </c>
      <c r="D30" s="8" t="s">
        <v>417</v>
      </c>
      <c r="E30" t="s">
        <v>418</v>
      </c>
      <c r="F30" t="s">
        <v>419</v>
      </c>
      <c r="G30" t="s">
        <v>174</v>
      </c>
      <c r="H30" t="s">
        <v>420</v>
      </c>
      <c r="I30" t="s">
        <v>225</v>
      </c>
      <c r="J30" t="s">
        <v>282</v>
      </c>
      <c r="K30" t="s">
        <v>283</v>
      </c>
      <c r="L30" t="s">
        <v>284</v>
      </c>
      <c r="M30" t="s">
        <v>285</v>
      </c>
      <c r="N30" t="s">
        <v>496</v>
      </c>
      <c r="O30" s="4" t="s">
        <v>500</v>
      </c>
      <c r="P30" t="s">
        <v>577</v>
      </c>
      <c r="Q30" t="s">
        <v>569</v>
      </c>
      <c r="R30" s="4"/>
      <c r="S30" t="s">
        <v>571</v>
      </c>
      <c r="T30" t="s">
        <v>382</v>
      </c>
      <c r="U30">
        <v>3.3</v>
      </c>
      <c r="W30" t="str">
        <f>IF(COUNTIF('Survey 2 Papers'!$D:$D,D30)&gt;0,"Shared with S2","Unique")</f>
        <v>Shared with S2</v>
      </c>
    </row>
    <row r="31" spans="1:23" x14ac:dyDescent="0.35">
      <c r="A31" s="14" t="s">
        <v>404</v>
      </c>
      <c r="B31" t="s">
        <v>421</v>
      </c>
      <c r="C31">
        <v>2008</v>
      </c>
      <c r="D31" s="8" t="s">
        <v>422</v>
      </c>
      <c r="E31" t="s">
        <v>423</v>
      </c>
      <c r="F31" t="s">
        <v>424</v>
      </c>
      <c r="G31" t="s">
        <v>175</v>
      </c>
      <c r="H31" t="s">
        <v>425</v>
      </c>
      <c r="I31" t="s">
        <v>226</v>
      </c>
      <c r="J31" t="s">
        <v>276</v>
      </c>
      <c r="K31" t="s">
        <v>283</v>
      </c>
      <c r="L31" t="s">
        <v>284</v>
      </c>
      <c r="M31" t="s">
        <v>285</v>
      </c>
      <c r="N31" t="s">
        <v>229</v>
      </c>
      <c r="O31" s="4" t="s">
        <v>501</v>
      </c>
      <c r="P31" t="s">
        <v>571</v>
      </c>
      <c r="Q31" t="s">
        <v>569</v>
      </c>
      <c r="R31" s="4"/>
      <c r="S31" t="s">
        <v>571</v>
      </c>
      <c r="T31" t="s">
        <v>382</v>
      </c>
      <c r="U31">
        <v>3.3</v>
      </c>
      <c r="W31" t="str">
        <f>IF(COUNTIF('Survey 2 Papers'!$D:$D,D31)&gt;0,"Shared with S2","Unique")</f>
        <v>Shared with S2</v>
      </c>
    </row>
    <row r="32" spans="1:23" x14ac:dyDescent="0.35">
      <c r="A32" s="14" t="s">
        <v>404</v>
      </c>
      <c r="B32" t="s">
        <v>426</v>
      </c>
      <c r="C32">
        <v>2022</v>
      </c>
      <c r="D32" s="8" t="s">
        <v>427</v>
      </c>
      <c r="E32" t="s">
        <v>428</v>
      </c>
      <c r="F32" t="s">
        <v>429</v>
      </c>
      <c r="G32" t="s">
        <v>183</v>
      </c>
      <c r="H32" t="s">
        <v>430</v>
      </c>
      <c r="I32" t="s">
        <v>226</v>
      </c>
      <c r="J32" t="s">
        <v>276</v>
      </c>
      <c r="K32" t="s">
        <v>271</v>
      </c>
      <c r="L32" t="s">
        <v>284</v>
      </c>
      <c r="M32" t="s">
        <v>285</v>
      </c>
      <c r="N32" t="s">
        <v>502</v>
      </c>
      <c r="O32" s="4" t="s">
        <v>503</v>
      </c>
      <c r="P32" t="s">
        <v>571</v>
      </c>
      <c r="Q32" t="s">
        <v>569</v>
      </c>
      <c r="R32" s="4"/>
      <c r="S32" t="s">
        <v>571</v>
      </c>
      <c r="T32" t="s">
        <v>382</v>
      </c>
      <c r="U32">
        <v>3.3</v>
      </c>
      <c r="W32" t="str">
        <f>IF(COUNTIF('Survey 2 Papers'!$D:$D,D32)&gt;0,"Shared with S2","Unique")</f>
        <v>Shared with S2</v>
      </c>
    </row>
    <row r="33" spans="1:23" x14ac:dyDescent="0.35">
      <c r="A33" s="14" t="s">
        <v>378</v>
      </c>
      <c r="B33" t="s">
        <v>431</v>
      </c>
      <c r="C33">
        <v>2022</v>
      </c>
      <c r="D33" s="8" t="s">
        <v>432</v>
      </c>
      <c r="E33" t="s">
        <v>433</v>
      </c>
      <c r="F33" t="s">
        <v>434</v>
      </c>
      <c r="G33" t="s">
        <v>435</v>
      </c>
      <c r="H33" t="s">
        <v>436</v>
      </c>
      <c r="I33" t="s">
        <v>225</v>
      </c>
      <c r="J33" t="s">
        <v>273</v>
      </c>
      <c r="K33" t="s">
        <v>271</v>
      </c>
      <c r="L33" t="s">
        <v>238</v>
      </c>
      <c r="M33" t="s">
        <v>275</v>
      </c>
      <c r="N33" t="s">
        <v>233</v>
      </c>
      <c r="O33" s="4" t="s">
        <v>504</v>
      </c>
      <c r="P33" t="s">
        <v>574</v>
      </c>
      <c r="Q33" t="s">
        <v>569</v>
      </c>
      <c r="R33" s="4"/>
      <c r="S33" t="s">
        <v>574</v>
      </c>
      <c r="T33" t="s">
        <v>382</v>
      </c>
      <c r="U33" t="s">
        <v>2181</v>
      </c>
      <c r="W33" t="str">
        <f>IF(COUNTIF('Survey 2 Papers'!$D:$D,D33)&gt;0,"Shared with S2","Unique")</f>
        <v>Unique</v>
      </c>
    </row>
    <row r="34" spans="1:23" x14ac:dyDescent="0.35">
      <c r="A34" s="14" t="s">
        <v>378</v>
      </c>
      <c r="B34" t="s">
        <v>437</v>
      </c>
      <c r="C34">
        <v>2019</v>
      </c>
      <c r="D34" s="8" t="s">
        <v>438</v>
      </c>
      <c r="E34" t="s">
        <v>439</v>
      </c>
      <c r="F34" t="s">
        <v>440</v>
      </c>
      <c r="G34" t="s">
        <v>178</v>
      </c>
      <c r="H34" t="s">
        <v>441</v>
      </c>
      <c r="I34" t="s">
        <v>227</v>
      </c>
      <c r="J34" t="s">
        <v>273</v>
      </c>
      <c r="K34" t="s">
        <v>271</v>
      </c>
      <c r="L34" t="s">
        <v>238</v>
      </c>
      <c r="M34" t="s">
        <v>272</v>
      </c>
      <c r="N34" t="s">
        <v>235</v>
      </c>
      <c r="O34" s="4" t="s">
        <v>505</v>
      </c>
      <c r="P34" t="s">
        <v>574</v>
      </c>
      <c r="Q34" t="s">
        <v>569</v>
      </c>
      <c r="R34" s="4"/>
      <c r="S34" t="s">
        <v>574</v>
      </c>
      <c r="T34" t="s">
        <v>382</v>
      </c>
      <c r="U34" t="s">
        <v>2182</v>
      </c>
      <c r="W34" t="str">
        <f>IF(COUNTIF('Survey 2 Papers'!$D:$D,D34)&gt;0,"Shared with S2","Unique")</f>
        <v>Unique</v>
      </c>
    </row>
    <row r="35" spans="1:23" x14ac:dyDescent="0.35">
      <c r="A35" s="14" t="s">
        <v>442</v>
      </c>
      <c r="B35" t="s">
        <v>443</v>
      </c>
      <c r="C35">
        <v>2010</v>
      </c>
      <c r="D35" s="10" t="s">
        <v>444</v>
      </c>
      <c r="E35" t="s">
        <v>445</v>
      </c>
      <c r="F35" t="s">
        <v>446</v>
      </c>
      <c r="G35" t="s">
        <v>291</v>
      </c>
      <c r="H35" t="s">
        <v>447</v>
      </c>
      <c r="I35" t="s">
        <v>225</v>
      </c>
      <c r="J35" t="s">
        <v>273</v>
      </c>
      <c r="K35" t="s">
        <v>271</v>
      </c>
      <c r="L35" t="s">
        <v>238</v>
      </c>
      <c r="M35" t="s">
        <v>272</v>
      </c>
      <c r="N35" t="s">
        <v>506</v>
      </c>
      <c r="O35" s="4" t="s">
        <v>507</v>
      </c>
      <c r="P35" t="s">
        <v>570</v>
      </c>
      <c r="Q35" t="s">
        <v>569</v>
      </c>
      <c r="R35" s="4"/>
      <c r="S35" t="s">
        <v>570</v>
      </c>
      <c r="T35" t="s">
        <v>382</v>
      </c>
      <c r="U35" t="s">
        <v>2183</v>
      </c>
      <c r="W35" t="str">
        <f>IF(COUNTIF('Survey 2 Papers'!$D:$D,D35)&gt;0,"Shared with S2","Unique")</f>
        <v>Unique</v>
      </c>
    </row>
    <row r="36" spans="1:23" x14ac:dyDescent="0.35">
      <c r="A36" s="14" t="s">
        <v>442</v>
      </c>
      <c r="B36" t="s">
        <v>448</v>
      </c>
      <c r="C36">
        <v>1997</v>
      </c>
      <c r="D36" s="8" t="s">
        <v>449</v>
      </c>
      <c r="E36" t="s">
        <v>450</v>
      </c>
      <c r="F36" t="s">
        <v>451</v>
      </c>
      <c r="G36" t="s">
        <v>174</v>
      </c>
      <c r="H36" t="s">
        <v>452</v>
      </c>
      <c r="I36" t="s">
        <v>226</v>
      </c>
      <c r="J36" t="s">
        <v>281</v>
      </c>
      <c r="K36" t="s">
        <v>271</v>
      </c>
      <c r="L36" t="s">
        <v>238</v>
      </c>
      <c r="M36" t="s">
        <v>272</v>
      </c>
      <c r="N36" t="s">
        <v>240</v>
      </c>
      <c r="O36" s="4" t="s">
        <v>508</v>
      </c>
      <c r="P36" t="s">
        <v>570</v>
      </c>
      <c r="Q36" t="s">
        <v>569</v>
      </c>
      <c r="R36" s="4"/>
      <c r="S36" t="s">
        <v>570</v>
      </c>
      <c r="T36" t="s">
        <v>382</v>
      </c>
      <c r="U36" t="s">
        <v>2184</v>
      </c>
      <c r="W36" t="str">
        <f>IF(COUNTIF('Survey 2 Papers'!$D:$D,D36)&gt;0,"Shared with S2","Unique")</f>
        <v>Unique</v>
      </c>
    </row>
    <row r="37" spans="1:23" x14ac:dyDescent="0.35">
      <c r="A37" s="14" t="s">
        <v>18</v>
      </c>
      <c r="B37" t="s">
        <v>453</v>
      </c>
      <c r="C37">
        <v>2006</v>
      </c>
      <c r="D37" s="8" t="s">
        <v>454</v>
      </c>
      <c r="E37" t="s">
        <v>455</v>
      </c>
      <c r="F37" t="s">
        <v>456</v>
      </c>
      <c r="G37" t="s">
        <v>297</v>
      </c>
      <c r="H37" t="s">
        <v>457</v>
      </c>
      <c r="I37" t="s">
        <v>227</v>
      </c>
      <c r="J37" t="s">
        <v>273</v>
      </c>
      <c r="K37" t="s">
        <v>283</v>
      </c>
      <c r="L37" t="s">
        <v>238</v>
      </c>
      <c r="M37" t="s">
        <v>275</v>
      </c>
      <c r="N37" t="s">
        <v>509</v>
      </c>
      <c r="O37" s="4" t="s">
        <v>510</v>
      </c>
      <c r="P37" t="s">
        <v>576</v>
      </c>
      <c r="Q37" t="s">
        <v>569</v>
      </c>
      <c r="R37" s="4"/>
      <c r="S37" t="s">
        <v>568</v>
      </c>
      <c r="T37" t="s">
        <v>382</v>
      </c>
      <c r="U37" t="s">
        <v>2171</v>
      </c>
      <c r="W37" t="str">
        <f>IF(COUNTIF('Survey 2 Papers'!$D:$D,D37)&gt;0,"Shared with S2","Unique")</f>
        <v>Shared with S2</v>
      </c>
    </row>
    <row r="38" spans="1:23" ht="29" x14ac:dyDescent="0.35">
      <c r="A38" s="14" t="s">
        <v>511</v>
      </c>
      <c r="B38" t="s">
        <v>512</v>
      </c>
      <c r="C38">
        <v>2017</v>
      </c>
      <c r="D38" s="8" t="s">
        <v>513</v>
      </c>
      <c r="E38" t="s">
        <v>514</v>
      </c>
      <c r="F38" t="s">
        <v>515</v>
      </c>
      <c r="G38" t="s">
        <v>516</v>
      </c>
      <c r="H38" t="s">
        <v>517</v>
      </c>
      <c r="I38" t="s">
        <v>225</v>
      </c>
      <c r="J38" t="s">
        <v>277</v>
      </c>
      <c r="K38" t="s">
        <v>271</v>
      </c>
      <c r="L38" t="s">
        <v>238</v>
      </c>
      <c r="M38" t="s">
        <v>275</v>
      </c>
      <c r="N38" t="s">
        <v>233</v>
      </c>
      <c r="O38" s="4" t="s">
        <v>518</v>
      </c>
      <c r="P38" t="s">
        <v>572</v>
      </c>
      <c r="Q38" t="s">
        <v>569</v>
      </c>
      <c r="R38" s="4"/>
      <c r="S38" t="s">
        <v>572</v>
      </c>
      <c r="T38" t="s">
        <v>382</v>
      </c>
      <c r="U38">
        <v>3.5</v>
      </c>
      <c r="W38" t="str">
        <f>IF(COUNTIF('Survey 2 Papers'!$D:$D,D38)&gt;0,"Shared with S2","Unique")</f>
        <v>Unique</v>
      </c>
    </row>
    <row r="39" spans="1:23" x14ac:dyDescent="0.35">
      <c r="A39" s="14" t="s">
        <v>442</v>
      </c>
      <c r="B39" t="s">
        <v>45</v>
      </c>
      <c r="C39">
        <v>2016</v>
      </c>
      <c r="D39" s="8" t="s">
        <v>519</v>
      </c>
      <c r="E39" t="s">
        <v>520</v>
      </c>
      <c r="F39" t="s">
        <v>521</v>
      </c>
      <c r="G39" t="s">
        <v>174</v>
      </c>
      <c r="H39" t="s">
        <v>522</v>
      </c>
      <c r="I39" t="s">
        <v>225</v>
      </c>
      <c r="J39" t="s">
        <v>273</v>
      </c>
      <c r="K39" t="s">
        <v>271</v>
      </c>
      <c r="L39" t="s">
        <v>238</v>
      </c>
      <c r="M39" t="s">
        <v>272</v>
      </c>
      <c r="N39" t="s">
        <v>233</v>
      </c>
      <c r="O39" s="4" t="s">
        <v>523</v>
      </c>
      <c r="P39" t="s">
        <v>570</v>
      </c>
      <c r="Q39" t="s">
        <v>569</v>
      </c>
      <c r="R39" s="4"/>
      <c r="S39" t="s">
        <v>570</v>
      </c>
      <c r="T39" t="s">
        <v>382</v>
      </c>
      <c r="U39" t="s">
        <v>2183</v>
      </c>
      <c r="W39" t="str">
        <f>IF(COUNTIF('Survey 2 Papers'!$D:$D,D39)&gt;0,"Shared with S2","Unique")</f>
        <v>Unique</v>
      </c>
    </row>
    <row r="40" spans="1:23" x14ac:dyDescent="0.35">
      <c r="A40" s="14" t="s">
        <v>404</v>
      </c>
      <c r="B40" t="s">
        <v>524</v>
      </c>
      <c r="C40">
        <v>2022</v>
      </c>
      <c r="D40" s="8" t="s">
        <v>525</v>
      </c>
      <c r="E40" t="s">
        <v>526</v>
      </c>
      <c r="F40" t="s">
        <v>527</v>
      </c>
      <c r="G40" t="s">
        <v>174</v>
      </c>
      <c r="H40" t="s">
        <v>528</v>
      </c>
      <c r="I40" t="s">
        <v>225</v>
      </c>
      <c r="J40" t="s">
        <v>276</v>
      </c>
      <c r="K40" t="s">
        <v>271</v>
      </c>
      <c r="L40" t="s">
        <v>284</v>
      </c>
      <c r="M40" t="s">
        <v>285</v>
      </c>
      <c r="N40" t="s">
        <v>255</v>
      </c>
      <c r="O40" s="4" t="s">
        <v>529</v>
      </c>
      <c r="P40" t="s">
        <v>571</v>
      </c>
      <c r="Q40" t="s">
        <v>569</v>
      </c>
      <c r="R40" s="4"/>
      <c r="S40" t="s">
        <v>571</v>
      </c>
      <c r="T40" t="s">
        <v>382</v>
      </c>
      <c r="U40">
        <v>3.3</v>
      </c>
      <c r="W40" t="str">
        <f>IF(COUNTIF('Survey 2 Papers'!$D:$D,D40)&gt;0,"Shared with S2","Unique")</f>
        <v>Shared with S2</v>
      </c>
    </row>
    <row r="41" spans="1:23" ht="29" x14ac:dyDescent="0.35">
      <c r="A41" s="14" t="s">
        <v>404</v>
      </c>
      <c r="B41" t="s">
        <v>530</v>
      </c>
      <c r="C41">
        <v>2021</v>
      </c>
      <c r="D41" s="8" t="s">
        <v>531</v>
      </c>
      <c r="E41" t="s">
        <v>532</v>
      </c>
      <c r="F41" t="s">
        <v>533</v>
      </c>
      <c r="G41" t="s">
        <v>534</v>
      </c>
      <c r="H41" t="s">
        <v>535</v>
      </c>
      <c r="I41" t="s">
        <v>226</v>
      </c>
      <c r="J41" t="s">
        <v>276</v>
      </c>
      <c r="K41" t="s">
        <v>271</v>
      </c>
      <c r="L41" t="s">
        <v>284</v>
      </c>
      <c r="M41" t="s">
        <v>285</v>
      </c>
      <c r="N41" t="s">
        <v>234</v>
      </c>
      <c r="O41" s="4" t="s">
        <v>536</v>
      </c>
      <c r="P41" t="s">
        <v>571</v>
      </c>
      <c r="Q41" t="s">
        <v>569</v>
      </c>
      <c r="R41" s="4"/>
      <c r="S41" t="s">
        <v>571</v>
      </c>
      <c r="T41" t="s">
        <v>382</v>
      </c>
      <c r="U41">
        <v>3.3</v>
      </c>
      <c r="W41" t="str">
        <f>IF(COUNTIF('Survey 2 Papers'!$D:$D,D41)&gt;0,"Shared with S2","Unique")</f>
        <v>Shared with S2</v>
      </c>
    </row>
    <row r="42" spans="1:23" x14ac:dyDescent="0.35">
      <c r="A42" s="14" t="s">
        <v>404</v>
      </c>
      <c r="B42" t="s">
        <v>537</v>
      </c>
      <c r="C42">
        <v>2023</v>
      </c>
      <c r="D42" s="8" t="s">
        <v>538</v>
      </c>
      <c r="E42" t="s">
        <v>539</v>
      </c>
      <c r="F42" t="s">
        <v>540</v>
      </c>
      <c r="G42" t="s">
        <v>183</v>
      </c>
      <c r="H42" t="s">
        <v>541</v>
      </c>
      <c r="I42" t="s">
        <v>226</v>
      </c>
      <c r="J42" t="s">
        <v>278</v>
      </c>
      <c r="K42" t="s">
        <v>271</v>
      </c>
      <c r="L42" t="s">
        <v>284</v>
      </c>
      <c r="M42" t="s">
        <v>285</v>
      </c>
      <c r="N42" t="s">
        <v>542</v>
      </c>
      <c r="O42" s="4" t="s">
        <v>543</v>
      </c>
      <c r="P42" t="s">
        <v>571</v>
      </c>
      <c r="Q42" t="s">
        <v>569</v>
      </c>
      <c r="R42" s="4"/>
      <c r="S42" t="s">
        <v>571</v>
      </c>
      <c r="T42" t="s">
        <v>382</v>
      </c>
      <c r="U42">
        <v>3.3</v>
      </c>
      <c r="W42" t="str">
        <f>IF(COUNTIF('Survey 2 Papers'!$D:$D,D42)&gt;0,"Shared with S2","Unique")</f>
        <v>Unique</v>
      </c>
    </row>
    <row r="43" spans="1:23" x14ac:dyDescent="0.35">
      <c r="A43" s="14" t="s">
        <v>544</v>
      </c>
      <c r="B43" t="s">
        <v>545</v>
      </c>
      <c r="C43">
        <v>2023</v>
      </c>
      <c r="D43" s="8" t="s">
        <v>546</v>
      </c>
      <c r="E43" t="s">
        <v>547</v>
      </c>
      <c r="F43" t="s">
        <v>548</v>
      </c>
      <c r="G43" t="s">
        <v>549</v>
      </c>
      <c r="H43" t="s">
        <v>550</v>
      </c>
      <c r="I43" t="s">
        <v>226</v>
      </c>
      <c r="J43" t="s">
        <v>274</v>
      </c>
      <c r="K43" t="s">
        <v>271</v>
      </c>
      <c r="L43" t="s">
        <v>238</v>
      </c>
      <c r="M43" t="s">
        <v>275</v>
      </c>
      <c r="N43" t="s">
        <v>551</v>
      </c>
      <c r="O43" s="4" t="s">
        <v>552</v>
      </c>
      <c r="P43" t="s">
        <v>568</v>
      </c>
      <c r="Q43" t="s">
        <v>569</v>
      </c>
      <c r="R43" s="4"/>
      <c r="S43" t="s">
        <v>572</v>
      </c>
      <c r="T43" t="s">
        <v>382</v>
      </c>
      <c r="U43" t="s">
        <v>2185</v>
      </c>
      <c r="W43" t="str">
        <f>IF(COUNTIF('Survey 2 Papers'!$D:$D,D43)&gt;0,"Shared with S2","Unique")</f>
        <v>Unique</v>
      </c>
    </row>
    <row r="44" spans="1:23" x14ac:dyDescent="0.35">
      <c r="A44" s="14" t="s">
        <v>544</v>
      </c>
      <c r="B44" t="s">
        <v>545</v>
      </c>
      <c r="C44">
        <v>2025</v>
      </c>
      <c r="D44" s="10" t="s">
        <v>553</v>
      </c>
      <c r="E44" t="s">
        <v>554</v>
      </c>
      <c r="F44" t="s">
        <v>555</v>
      </c>
      <c r="G44" t="s">
        <v>174</v>
      </c>
      <c r="H44" t="s">
        <v>556</v>
      </c>
      <c r="I44" t="s">
        <v>225</v>
      </c>
      <c r="J44" t="s">
        <v>274</v>
      </c>
      <c r="K44" t="s">
        <v>271</v>
      </c>
      <c r="L44" t="s">
        <v>238</v>
      </c>
      <c r="M44" t="s">
        <v>285</v>
      </c>
      <c r="N44" t="s">
        <v>233</v>
      </c>
      <c r="O44" s="4" t="s">
        <v>557</v>
      </c>
      <c r="P44" t="s">
        <v>568</v>
      </c>
      <c r="Q44" t="s">
        <v>569</v>
      </c>
      <c r="R44" s="4"/>
      <c r="S44" t="s">
        <v>572</v>
      </c>
      <c r="T44" t="s">
        <v>382</v>
      </c>
      <c r="U44" t="s">
        <v>2185</v>
      </c>
      <c r="W44" t="str">
        <f>IF(COUNTIF('Survey 2 Papers'!$D:$D,D44)&gt;0,"Shared with S2","Unique")</f>
        <v>Unique</v>
      </c>
    </row>
    <row r="45" spans="1:23" ht="29" x14ac:dyDescent="0.35">
      <c r="A45" s="14" t="s">
        <v>544</v>
      </c>
      <c r="B45" t="s">
        <v>558</v>
      </c>
      <c r="C45">
        <v>2018</v>
      </c>
      <c r="D45" s="8" t="s">
        <v>559</v>
      </c>
      <c r="E45" t="s">
        <v>560</v>
      </c>
      <c r="F45" t="s">
        <v>561</v>
      </c>
      <c r="G45" t="s">
        <v>174</v>
      </c>
      <c r="H45" t="s">
        <v>562</v>
      </c>
      <c r="I45" t="s">
        <v>227</v>
      </c>
      <c r="J45" t="s">
        <v>278</v>
      </c>
      <c r="K45" t="s">
        <v>283</v>
      </c>
      <c r="L45" t="s">
        <v>238</v>
      </c>
      <c r="M45" t="s">
        <v>275</v>
      </c>
      <c r="N45" t="s">
        <v>563</v>
      </c>
      <c r="O45" s="4" t="s">
        <v>564</v>
      </c>
      <c r="P45" t="s">
        <v>568</v>
      </c>
      <c r="Q45" t="s">
        <v>569</v>
      </c>
      <c r="R45" s="4"/>
      <c r="S45" t="s">
        <v>572</v>
      </c>
      <c r="T45" t="s">
        <v>382</v>
      </c>
      <c r="U45" t="s">
        <v>2175</v>
      </c>
      <c r="V45" t="s">
        <v>2186</v>
      </c>
      <c r="W45" t="str">
        <f>IF(COUNTIF('Survey 2 Papers'!$D:$D,D45)&gt;0,"Shared with S2","Unique")</f>
        <v>Unique</v>
      </c>
    </row>
    <row r="46" spans="1:23" x14ac:dyDescent="0.35">
      <c r="A46" s="14" t="s">
        <v>15</v>
      </c>
      <c r="B46" t="s">
        <v>587</v>
      </c>
      <c r="C46">
        <v>2000</v>
      </c>
      <c r="D46" s="8" t="s">
        <v>588</v>
      </c>
      <c r="E46" t="s">
        <v>589</v>
      </c>
      <c r="F46" t="s">
        <v>831</v>
      </c>
      <c r="G46" t="s">
        <v>174</v>
      </c>
      <c r="I46" t="s">
        <v>226</v>
      </c>
      <c r="J46" t="s">
        <v>273</v>
      </c>
      <c r="K46" t="s">
        <v>271</v>
      </c>
      <c r="L46" t="s">
        <v>238</v>
      </c>
      <c r="M46" t="s">
        <v>272</v>
      </c>
      <c r="N46" t="s">
        <v>468</v>
      </c>
      <c r="O46" t="s">
        <v>911</v>
      </c>
      <c r="P46" t="s">
        <v>568</v>
      </c>
      <c r="Q46" t="s">
        <v>569</v>
      </c>
      <c r="R46" t="s">
        <v>979</v>
      </c>
      <c r="S46" t="s">
        <v>2042</v>
      </c>
      <c r="T46" t="s">
        <v>382</v>
      </c>
      <c r="U46">
        <v>3.4</v>
      </c>
      <c r="W46" t="str">
        <f>IF(COUNTIF('Survey 2 Papers'!$D:$D,D46)&gt;0,"Shared with S2","Unique")</f>
        <v>Unique</v>
      </c>
    </row>
    <row r="47" spans="1:23" x14ac:dyDescent="0.35">
      <c r="A47" s="14" t="s">
        <v>10</v>
      </c>
      <c r="B47" t="s">
        <v>590</v>
      </c>
      <c r="C47">
        <v>2014</v>
      </c>
      <c r="D47" s="8" t="s">
        <v>2164</v>
      </c>
      <c r="E47" t="s">
        <v>592</v>
      </c>
      <c r="F47" t="s">
        <v>832</v>
      </c>
      <c r="G47" t="s">
        <v>174</v>
      </c>
      <c r="I47" t="s">
        <v>226</v>
      </c>
      <c r="J47" t="s">
        <v>276</v>
      </c>
      <c r="K47" t="s">
        <v>271</v>
      </c>
      <c r="L47" t="s">
        <v>238</v>
      </c>
      <c r="M47" t="s">
        <v>272</v>
      </c>
      <c r="N47" t="s">
        <v>240</v>
      </c>
      <c r="O47" t="s">
        <v>912</v>
      </c>
      <c r="P47" t="s">
        <v>571</v>
      </c>
      <c r="Q47" t="s">
        <v>569</v>
      </c>
      <c r="R47" t="s">
        <v>980</v>
      </c>
      <c r="S47" t="s">
        <v>2043</v>
      </c>
      <c r="T47" t="s">
        <v>382</v>
      </c>
      <c r="U47">
        <v>3.2</v>
      </c>
      <c r="V47" t="s">
        <v>2172</v>
      </c>
      <c r="W47" t="str">
        <f>IF(COUNTIF('Survey 2 Papers'!$D:$D,D47)&gt;0,"Shared with S2","Unique")</f>
        <v>Unique</v>
      </c>
    </row>
    <row r="48" spans="1:23" x14ac:dyDescent="0.35">
      <c r="A48" s="14" t="s">
        <v>404</v>
      </c>
      <c r="B48" t="s">
        <v>596</v>
      </c>
      <c r="C48">
        <v>2023</v>
      </c>
      <c r="D48" s="8" t="s">
        <v>597</v>
      </c>
      <c r="E48" t="s">
        <v>598</v>
      </c>
      <c r="F48" t="s">
        <v>834</v>
      </c>
      <c r="G48" t="s">
        <v>174</v>
      </c>
      <c r="I48" t="s">
        <v>226</v>
      </c>
      <c r="J48" t="s">
        <v>278</v>
      </c>
      <c r="K48" t="s">
        <v>271</v>
      </c>
      <c r="L48" t="s">
        <v>284</v>
      </c>
      <c r="M48" t="s">
        <v>285</v>
      </c>
      <c r="N48" t="s">
        <v>542</v>
      </c>
      <c r="O48" t="s">
        <v>914</v>
      </c>
      <c r="P48" t="s">
        <v>571</v>
      </c>
      <c r="Q48" t="s">
        <v>569</v>
      </c>
      <c r="R48" t="s">
        <v>982</v>
      </c>
      <c r="S48" t="s">
        <v>571</v>
      </c>
      <c r="T48" t="s">
        <v>382</v>
      </c>
      <c r="U48">
        <v>3.3</v>
      </c>
      <c r="W48" t="str">
        <f>IF(COUNTIF('Survey 2 Papers'!$D:$D,D48)&gt;0,"Shared with S2","Unique")</f>
        <v>Unique</v>
      </c>
    </row>
    <row r="49" spans="1:23" x14ac:dyDescent="0.35">
      <c r="A49" s="14" t="s">
        <v>10</v>
      </c>
      <c r="B49" t="s">
        <v>603</v>
      </c>
      <c r="C49">
        <v>2015</v>
      </c>
      <c r="D49" s="15" t="s">
        <v>604</v>
      </c>
      <c r="E49" t="s">
        <v>605</v>
      </c>
      <c r="F49" t="s">
        <v>836</v>
      </c>
      <c r="G49" t="s">
        <v>583</v>
      </c>
      <c r="I49" t="s">
        <v>226</v>
      </c>
      <c r="J49" t="s">
        <v>273</v>
      </c>
      <c r="K49" t="s">
        <v>271</v>
      </c>
      <c r="L49" t="s">
        <v>284</v>
      </c>
      <c r="M49" t="s">
        <v>275</v>
      </c>
      <c r="N49" t="s">
        <v>898</v>
      </c>
      <c r="O49" t="s">
        <v>916</v>
      </c>
      <c r="P49" t="s">
        <v>575</v>
      </c>
      <c r="Q49" t="s">
        <v>569</v>
      </c>
      <c r="R49" t="s">
        <v>984</v>
      </c>
      <c r="S49" t="s">
        <v>2043</v>
      </c>
      <c r="T49" t="s">
        <v>382</v>
      </c>
      <c r="U49" t="s">
        <v>2187</v>
      </c>
      <c r="W49" t="str">
        <f>IF(COUNTIF('Survey 2 Papers'!$D:$D,D49)&gt;0,"Shared with S2","Unique")</f>
        <v>Shared with S2</v>
      </c>
    </row>
    <row r="50" spans="1:23" x14ac:dyDescent="0.35">
      <c r="A50" s="14" t="s">
        <v>404</v>
      </c>
      <c r="B50" t="s">
        <v>670</v>
      </c>
      <c r="C50">
        <v>2020</v>
      </c>
      <c r="D50" s="8" t="s">
        <v>671</v>
      </c>
      <c r="E50" t="s">
        <v>106</v>
      </c>
      <c r="F50" t="s">
        <v>859</v>
      </c>
      <c r="G50" t="s">
        <v>174</v>
      </c>
      <c r="I50" t="s">
        <v>226</v>
      </c>
      <c r="J50" t="s">
        <v>276</v>
      </c>
      <c r="K50" t="s">
        <v>271</v>
      </c>
      <c r="L50" t="s">
        <v>284</v>
      </c>
      <c r="M50" t="s">
        <v>285</v>
      </c>
      <c r="N50" t="s">
        <v>255</v>
      </c>
      <c r="O50" t="s">
        <v>939</v>
      </c>
      <c r="P50" t="s">
        <v>571</v>
      </c>
      <c r="Q50" t="s">
        <v>569</v>
      </c>
      <c r="R50" t="s">
        <v>1007</v>
      </c>
      <c r="S50" t="s">
        <v>571</v>
      </c>
      <c r="T50" t="s">
        <v>382</v>
      </c>
      <c r="U50">
        <v>3.3</v>
      </c>
      <c r="W50" t="str">
        <f>IF(COUNTIF('Survey 2 Papers'!$D:$D,D50)&gt;0,"Shared with S2","Unique")</f>
        <v>Shared with S2</v>
      </c>
    </row>
    <row r="51" spans="1:23" x14ac:dyDescent="0.35">
      <c r="A51" s="14" t="s">
        <v>19</v>
      </c>
      <c r="B51" t="s">
        <v>678</v>
      </c>
      <c r="C51">
        <v>1998</v>
      </c>
      <c r="D51" s="8" t="s">
        <v>679</v>
      </c>
      <c r="E51" t="s">
        <v>680</v>
      </c>
      <c r="F51" t="s">
        <v>862</v>
      </c>
      <c r="G51" t="s">
        <v>583</v>
      </c>
      <c r="I51" t="s">
        <v>225</v>
      </c>
      <c r="J51" t="s">
        <v>270</v>
      </c>
      <c r="K51" t="s">
        <v>280</v>
      </c>
      <c r="L51" t="s">
        <v>284</v>
      </c>
      <c r="M51" t="s">
        <v>275</v>
      </c>
      <c r="N51" t="s">
        <v>468</v>
      </c>
      <c r="O51" t="s">
        <v>942</v>
      </c>
      <c r="P51" t="s">
        <v>573</v>
      </c>
      <c r="Q51" t="s">
        <v>569</v>
      </c>
      <c r="R51" t="s">
        <v>1009</v>
      </c>
      <c r="S51" t="s">
        <v>568</v>
      </c>
      <c r="T51" t="s">
        <v>2044</v>
      </c>
      <c r="U51" t="s">
        <v>2188</v>
      </c>
      <c r="W51" t="str">
        <f>IF(COUNTIF('Survey 2 Papers'!$D:$D,D51)&gt;0,"Shared with S2","Unique")</f>
        <v>Unique</v>
      </c>
    </row>
    <row r="52" spans="1:23" x14ac:dyDescent="0.35">
      <c r="A52" s="14" t="s">
        <v>404</v>
      </c>
      <c r="B52" t="s">
        <v>708</v>
      </c>
      <c r="C52">
        <v>2022</v>
      </c>
      <c r="D52" t="s">
        <v>709</v>
      </c>
      <c r="E52" t="s">
        <v>710</v>
      </c>
      <c r="F52" t="s">
        <v>868</v>
      </c>
      <c r="G52" t="s">
        <v>711</v>
      </c>
      <c r="H52" t="s">
        <v>712</v>
      </c>
      <c r="I52" t="s">
        <v>226</v>
      </c>
      <c r="J52" t="s">
        <v>274</v>
      </c>
      <c r="K52" t="s">
        <v>271</v>
      </c>
      <c r="L52" t="s">
        <v>284</v>
      </c>
      <c r="M52" t="s">
        <v>285</v>
      </c>
      <c r="N52" t="s">
        <v>255</v>
      </c>
      <c r="O52" t="s">
        <v>948</v>
      </c>
      <c r="P52" t="s">
        <v>571</v>
      </c>
      <c r="Q52" t="s">
        <v>569</v>
      </c>
      <c r="R52" t="s">
        <v>1015</v>
      </c>
      <c r="S52" t="s">
        <v>571</v>
      </c>
      <c r="T52" t="s">
        <v>382</v>
      </c>
      <c r="U52" t="s">
        <v>2185</v>
      </c>
      <c r="W52" t="str">
        <f>IF(COUNTIF('Survey 2 Papers'!$D:$D,D52)&gt;0,"Shared with S2","Unique")</f>
        <v>Shared with S2</v>
      </c>
    </row>
    <row r="53" spans="1:23" x14ac:dyDescent="0.35">
      <c r="A53" s="14" t="s">
        <v>404</v>
      </c>
      <c r="B53" t="s">
        <v>713</v>
      </c>
      <c r="C53">
        <v>2022</v>
      </c>
      <c r="D53" t="s">
        <v>714</v>
      </c>
      <c r="E53" t="s">
        <v>715</v>
      </c>
      <c r="F53" t="s">
        <v>869</v>
      </c>
      <c r="G53" t="s">
        <v>716</v>
      </c>
      <c r="H53" t="s">
        <v>717</v>
      </c>
      <c r="I53" t="s">
        <v>227</v>
      </c>
      <c r="J53" t="s">
        <v>276</v>
      </c>
      <c r="K53" t="s">
        <v>271</v>
      </c>
      <c r="L53" t="s">
        <v>284</v>
      </c>
      <c r="M53" t="s">
        <v>275</v>
      </c>
      <c r="N53" t="s">
        <v>255</v>
      </c>
      <c r="O53" t="s">
        <v>949</v>
      </c>
      <c r="P53" t="s">
        <v>571</v>
      </c>
      <c r="Q53" t="s">
        <v>569</v>
      </c>
      <c r="R53" t="s">
        <v>1016</v>
      </c>
      <c r="S53" t="s">
        <v>571</v>
      </c>
      <c r="T53" t="s">
        <v>382</v>
      </c>
      <c r="U53">
        <v>3.3</v>
      </c>
      <c r="W53" t="str">
        <f>IF(COUNTIF('Survey 2 Papers'!$D:$D,D53)&gt;0,"Shared with S2","Unique")</f>
        <v>Unique</v>
      </c>
    </row>
    <row r="54" spans="1:23" x14ac:dyDescent="0.35">
      <c r="A54" s="14" t="s">
        <v>10</v>
      </c>
      <c r="B54" t="s">
        <v>718</v>
      </c>
      <c r="C54">
        <v>2018</v>
      </c>
      <c r="D54" t="s">
        <v>719</v>
      </c>
      <c r="E54" t="s">
        <v>720</v>
      </c>
      <c r="F54" t="s">
        <v>870</v>
      </c>
      <c r="G54" t="s">
        <v>721</v>
      </c>
      <c r="H54" t="s">
        <v>722</v>
      </c>
      <c r="I54" t="s">
        <v>226</v>
      </c>
      <c r="J54" t="s">
        <v>276</v>
      </c>
      <c r="K54" t="s">
        <v>271</v>
      </c>
      <c r="L54" t="s">
        <v>238</v>
      </c>
      <c r="M54" t="s">
        <v>272</v>
      </c>
      <c r="N54" t="s">
        <v>229</v>
      </c>
      <c r="O54" t="s">
        <v>950</v>
      </c>
      <c r="P54" t="s">
        <v>571</v>
      </c>
      <c r="Q54" t="s">
        <v>569</v>
      </c>
      <c r="R54" t="s">
        <v>719</v>
      </c>
      <c r="S54" t="s">
        <v>2043</v>
      </c>
      <c r="T54" t="s">
        <v>382</v>
      </c>
      <c r="U54">
        <v>3.2</v>
      </c>
      <c r="W54" t="str">
        <f>IF(COUNTIF('Survey 2 Papers'!$D:$D,D54)&gt;0,"Shared with S2","Unique")</f>
        <v>Unique</v>
      </c>
    </row>
    <row r="55" spans="1:23" x14ac:dyDescent="0.35">
      <c r="A55" s="14" t="s">
        <v>10</v>
      </c>
      <c r="B55" t="s">
        <v>723</v>
      </c>
      <c r="C55">
        <v>2021</v>
      </c>
      <c r="D55" t="s">
        <v>724</v>
      </c>
      <c r="E55" t="s">
        <v>329</v>
      </c>
      <c r="F55" t="s">
        <v>871</v>
      </c>
      <c r="G55" t="s">
        <v>291</v>
      </c>
      <c r="H55" t="s">
        <v>725</v>
      </c>
      <c r="I55" t="s">
        <v>226</v>
      </c>
      <c r="J55" t="s">
        <v>276</v>
      </c>
      <c r="K55" t="s">
        <v>271</v>
      </c>
      <c r="L55" t="s">
        <v>238</v>
      </c>
      <c r="M55" t="s">
        <v>272</v>
      </c>
      <c r="N55" t="s">
        <v>506</v>
      </c>
      <c r="O55" t="s">
        <v>951</v>
      </c>
      <c r="P55" t="s">
        <v>571</v>
      </c>
      <c r="Q55" t="s">
        <v>569</v>
      </c>
      <c r="R55" t="s">
        <v>1017</v>
      </c>
      <c r="S55" t="s">
        <v>2043</v>
      </c>
      <c r="T55" t="s">
        <v>382</v>
      </c>
      <c r="U55">
        <v>3.2</v>
      </c>
      <c r="W55" t="str">
        <f>IF(COUNTIF('Survey 2 Papers'!$D:$D,D55)&gt;0,"Shared with S2","Unique")</f>
        <v>Unique</v>
      </c>
    </row>
    <row r="56" spans="1:23" x14ac:dyDescent="0.35">
      <c r="A56" s="14" t="s">
        <v>10</v>
      </c>
      <c r="B56" t="s">
        <v>726</v>
      </c>
      <c r="C56">
        <v>2018</v>
      </c>
      <c r="D56" t="s">
        <v>727</v>
      </c>
      <c r="E56" t="s">
        <v>728</v>
      </c>
      <c r="F56" t="s">
        <v>872</v>
      </c>
      <c r="G56" t="s">
        <v>183</v>
      </c>
      <c r="H56" t="s">
        <v>729</v>
      </c>
      <c r="I56" t="s">
        <v>227</v>
      </c>
      <c r="J56" t="s">
        <v>276</v>
      </c>
      <c r="K56" t="s">
        <v>271</v>
      </c>
      <c r="L56" t="s">
        <v>238</v>
      </c>
      <c r="M56" t="s">
        <v>272</v>
      </c>
      <c r="N56" t="s">
        <v>231</v>
      </c>
      <c r="O56" t="s">
        <v>952</v>
      </c>
      <c r="P56" t="s">
        <v>571</v>
      </c>
      <c r="Q56" t="s">
        <v>569</v>
      </c>
      <c r="R56" t="s">
        <v>1018</v>
      </c>
      <c r="S56" t="s">
        <v>2043</v>
      </c>
      <c r="T56" t="s">
        <v>382</v>
      </c>
      <c r="U56">
        <v>3.2</v>
      </c>
      <c r="W56" t="str">
        <f>IF(COUNTIF('Survey 2 Papers'!$D:$D,D56)&gt;0,"Shared with S2","Unique")</f>
        <v>Unique</v>
      </c>
    </row>
    <row r="57" spans="1:23" x14ac:dyDescent="0.35">
      <c r="A57" s="14" t="s">
        <v>18</v>
      </c>
      <c r="B57" t="s">
        <v>732</v>
      </c>
      <c r="C57">
        <v>2022</v>
      </c>
      <c r="D57" t="s">
        <v>733</v>
      </c>
      <c r="E57" t="s">
        <v>734</v>
      </c>
      <c r="F57" t="s">
        <v>874</v>
      </c>
      <c r="G57" t="s">
        <v>687</v>
      </c>
      <c r="I57" t="s">
        <v>226</v>
      </c>
      <c r="J57" t="s">
        <v>270</v>
      </c>
      <c r="K57" t="s">
        <v>271</v>
      </c>
      <c r="L57" t="s">
        <v>284</v>
      </c>
      <c r="M57" t="s">
        <v>285</v>
      </c>
      <c r="N57" t="s">
        <v>542</v>
      </c>
      <c r="O57" t="s">
        <v>954</v>
      </c>
      <c r="P57" t="s">
        <v>568</v>
      </c>
      <c r="Q57" t="s">
        <v>569</v>
      </c>
      <c r="R57" t="s">
        <v>1020</v>
      </c>
      <c r="S57" t="s">
        <v>568</v>
      </c>
      <c r="T57" t="s">
        <v>382</v>
      </c>
      <c r="U57" t="s">
        <v>2189</v>
      </c>
      <c r="W57" t="str">
        <f>IF(COUNTIF('Survey 2 Papers'!$D:$D,D57)&gt;0,"Shared with S2","Unique")</f>
        <v>Unique</v>
      </c>
    </row>
    <row r="58" spans="1:23" x14ac:dyDescent="0.35">
      <c r="A58" s="14" t="s">
        <v>18</v>
      </c>
      <c r="B58" t="s">
        <v>735</v>
      </c>
      <c r="C58">
        <v>2026</v>
      </c>
      <c r="D58" t="s">
        <v>736</v>
      </c>
      <c r="E58" t="s">
        <v>737</v>
      </c>
      <c r="F58" t="s">
        <v>875</v>
      </c>
      <c r="G58" t="s">
        <v>687</v>
      </c>
      <c r="H58" t="s">
        <v>738</v>
      </c>
      <c r="I58" t="s">
        <v>227</v>
      </c>
      <c r="J58" t="s">
        <v>278</v>
      </c>
      <c r="K58" t="s">
        <v>271</v>
      </c>
      <c r="L58" t="s">
        <v>284</v>
      </c>
      <c r="M58" t="s">
        <v>285</v>
      </c>
      <c r="N58" t="s">
        <v>542</v>
      </c>
      <c r="O58" t="s">
        <v>955</v>
      </c>
      <c r="P58" t="s">
        <v>571</v>
      </c>
      <c r="Q58" t="s">
        <v>569</v>
      </c>
      <c r="R58" t="s">
        <v>1021</v>
      </c>
      <c r="S58" t="s">
        <v>568</v>
      </c>
      <c r="T58" t="s">
        <v>382</v>
      </c>
      <c r="U58">
        <v>3.3</v>
      </c>
      <c r="V58" t="s">
        <v>2190</v>
      </c>
      <c r="W58" t="str">
        <f>IF(COUNTIF('Survey 2 Papers'!$D:$D,D58)&gt;0,"Shared with S2","Unique")</f>
        <v>Unique</v>
      </c>
    </row>
    <row r="59" spans="1:23" x14ac:dyDescent="0.35">
      <c r="A59" s="14" t="s">
        <v>19</v>
      </c>
      <c r="B59" t="s">
        <v>743</v>
      </c>
      <c r="C59">
        <v>2022</v>
      </c>
      <c r="D59" t="s">
        <v>744</v>
      </c>
      <c r="E59" t="s">
        <v>745</v>
      </c>
      <c r="F59" t="s">
        <v>877</v>
      </c>
      <c r="G59" t="s">
        <v>746</v>
      </c>
      <c r="H59" t="s">
        <v>747</v>
      </c>
      <c r="I59" t="s">
        <v>226</v>
      </c>
      <c r="J59" t="s">
        <v>270</v>
      </c>
      <c r="K59" t="s">
        <v>280</v>
      </c>
      <c r="L59" t="s">
        <v>284</v>
      </c>
      <c r="M59" t="s">
        <v>275</v>
      </c>
      <c r="N59" t="s">
        <v>233</v>
      </c>
      <c r="O59" t="s">
        <v>956</v>
      </c>
      <c r="P59" t="s">
        <v>573</v>
      </c>
      <c r="Q59" t="s">
        <v>569</v>
      </c>
      <c r="R59" t="s">
        <v>1023</v>
      </c>
      <c r="S59" t="s">
        <v>568</v>
      </c>
      <c r="T59" t="s">
        <v>2044</v>
      </c>
      <c r="U59" t="s">
        <v>2188</v>
      </c>
      <c r="W59" t="str">
        <f>IF(COUNTIF('Survey 2 Papers'!$D:$D,D59)&gt;0,"Shared with S2","Unique")</f>
        <v>Unique</v>
      </c>
    </row>
    <row r="60" spans="1:23" x14ac:dyDescent="0.35">
      <c r="A60" s="14" t="s">
        <v>19</v>
      </c>
      <c r="B60" t="s">
        <v>748</v>
      </c>
      <c r="C60">
        <v>1999</v>
      </c>
      <c r="D60" t="s">
        <v>749</v>
      </c>
      <c r="E60" t="s">
        <v>750</v>
      </c>
      <c r="F60" t="s">
        <v>878</v>
      </c>
      <c r="G60" t="s">
        <v>175</v>
      </c>
      <c r="H60" t="s">
        <v>751</v>
      </c>
      <c r="I60" t="s">
        <v>226</v>
      </c>
      <c r="J60" t="s">
        <v>278</v>
      </c>
      <c r="K60" t="s">
        <v>280</v>
      </c>
      <c r="L60" t="s">
        <v>238</v>
      </c>
      <c r="M60" t="s">
        <v>272</v>
      </c>
      <c r="N60" t="s">
        <v>563</v>
      </c>
      <c r="O60" t="s">
        <v>957</v>
      </c>
      <c r="P60" t="s">
        <v>568</v>
      </c>
      <c r="Q60" t="s">
        <v>569</v>
      </c>
      <c r="R60" t="s">
        <v>1024</v>
      </c>
      <c r="S60" t="s">
        <v>568</v>
      </c>
      <c r="T60" t="s">
        <v>2044</v>
      </c>
      <c r="U60" t="s">
        <v>2191</v>
      </c>
      <c r="W60" t="str">
        <f>IF(COUNTIF('Survey 2 Papers'!$D:$D,D60)&gt;0,"Shared with S2","Unique")</f>
        <v>Unique</v>
      </c>
    </row>
    <row r="61" spans="1:23" x14ac:dyDescent="0.35">
      <c r="A61" s="28" t="s">
        <v>1791</v>
      </c>
      <c r="B61" s="28" t="s">
        <v>1857</v>
      </c>
      <c r="C61" s="28">
        <v>2015</v>
      </c>
      <c r="D61" s="28" t="s">
        <v>1858</v>
      </c>
      <c r="E61" s="28" t="s">
        <v>1859</v>
      </c>
      <c r="F61" s="28" t="s">
        <v>1860</v>
      </c>
      <c r="G61" s="28" t="s">
        <v>1808</v>
      </c>
      <c r="H61" s="28"/>
      <c r="I61" s="28" t="s">
        <v>226</v>
      </c>
      <c r="J61" s="28" t="s">
        <v>1503</v>
      </c>
      <c r="K61" s="28" t="s">
        <v>271</v>
      </c>
      <c r="L61" s="28" t="s">
        <v>1861</v>
      </c>
      <c r="M61" s="28" t="s">
        <v>285</v>
      </c>
      <c r="N61" s="28" t="s">
        <v>229</v>
      </c>
      <c r="O61" s="28"/>
      <c r="P61" s="28" t="s">
        <v>574</v>
      </c>
      <c r="Q61" s="28" t="s">
        <v>569</v>
      </c>
      <c r="R61" s="28" t="s">
        <v>1862</v>
      </c>
      <c r="S61" t="s">
        <v>574</v>
      </c>
      <c r="T61" t="s">
        <v>382</v>
      </c>
      <c r="U61" t="s">
        <v>2192</v>
      </c>
      <c r="W61" t="str">
        <f>IF(COUNTIF('Survey 2 Papers'!$D:$D,D61)&gt;0,"Shared with S2","Unique")</f>
        <v>Unique</v>
      </c>
    </row>
    <row r="62" spans="1:23" x14ac:dyDescent="0.35">
      <c r="A62" s="28" t="s">
        <v>1791</v>
      </c>
      <c r="B62" s="28" t="s">
        <v>1863</v>
      </c>
      <c r="C62" s="28">
        <v>2012</v>
      </c>
      <c r="D62" s="28" t="s">
        <v>1864</v>
      </c>
      <c r="E62" s="28" t="s">
        <v>1865</v>
      </c>
      <c r="F62" s="28" t="s">
        <v>1866</v>
      </c>
      <c r="G62" s="28" t="s">
        <v>1808</v>
      </c>
      <c r="H62" s="28"/>
      <c r="I62" s="28" t="s">
        <v>226</v>
      </c>
      <c r="J62" s="28" t="s">
        <v>1503</v>
      </c>
      <c r="K62" s="28" t="s">
        <v>271</v>
      </c>
      <c r="L62" s="28" t="s">
        <v>1861</v>
      </c>
      <c r="M62" s="28" t="s">
        <v>285</v>
      </c>
      <c r="N62" s="28" t="s">
        <v>229</v>
      </c>
      <c r="O62" s="28"/>
      <c r="P62" s="28" t="s">
        <v>1790</v>
      </c>
      <c r="Q62" s="28" t="s">
        <v>569</v>
      </c>
      <c r="R62" s="28" t="s">
        <v>1867</v>
      </c>
      <c r="S62" t="s">
        <v>574</v>
      </c>
      <c r="T62" t="s">
        <v>382</v>
      </c>
      <c r="U62" t="s">
        <v>2192</v>
      </c>
      <c r="W62" t="str">
        <f>IF(COUNTIF('Survey 2 Papers'!$D:$D,D62)&gt;0,"Shared with S2","Unique")</f>
        <v>Unique</v>
      </c>
    </row>
    <row r="63" spans="1:23" x14ac:dyDescent="0.35">
      <c r="A63" s="28" t="s">
        <v>1792</v>
      </c>
      <c r="B63" s="28" t="s">
        <v>1885</v>
      </c>
      <c r="C63" s="28">
        <v>1998</v>
      </c>
      <c r="D63" s="28" t="s">
        <v>1886</v>
      </c>
      <c r="E63" s="28" t="s">
        <v>1887</v>
      </c>
      <c r="F63" s="28" t="s">
        <v>1888</v>
      </c>
      <c r="G63" s="28" t="s">
        <v>1808</v>
      </c>
      <c r="H63" s="28"/>
      <c r="I63" s="28" t="s">
        <v>227</v>
      </c>
      <c r="J63" s="28" t="s">
        <v>270</v>
      </c>
      <c r="K63" s="28" t="s">
        <v>1810</v>
      </c>
      <c r="L63" s="28" t="s">
        <v>1861</v>
      </c>
      <c r="M63" s="28" t="s">
        <v>275</v>
      </c>
      <c r="N63" s="28" t="s">
        <v>280</v>
      </c>
      <c r="O63" s="28"/>
      <c r="P63" s="28" t="s">
        <v>568</v>
      </c>
      <c r="Q63" s="28" t="s">
        <v>569</v>
      </c>
      <c r="R63" s="28" t="s">
        <v>1889</v>
      </c>
      <c r="S63" t="s">
        <v>568</v>
      </c>
      <c r="T63" t="s">
        <v>2044</v>
      </c>
      <c r="U63" t="s">
        <v>2193</v>
      </c>
      <c r="W63" t="str">
        <f>IF(COUNTIF('Survey 2 Papers'!$D:$D,D63)&gt;0,"Shared with S2","Unique")</f>
        <v>Unique</v>
      </c>
    </row>
    <row r="64" spans="1:23" x14ac:dyDescent="0.35">
      <c r="A64" s="28" t="s">
        <v>1792</v>
      </c>
      <c r="B64" s="28" t="s">
        <v>1890</v>
      </c>
      <c r="C64" s="28">
        <v>2011</v>
      </c>
      <c r="D64" s="28" t="s">
        <v>1891</v>
      </c>
      <c r="E64" s="28" t="s">
        <v>1892</v>
      </c>
      <c r="F64" s="28" t="s">
        <v>1893</v>
      </c>
      <c r="G64" s="28" t="s">
        <v>1808</v>
      </c>
      <c r="H64" s="28"/>
      <c r="I64" s="28" t="s">
        <v>227</v>
      </c>
      <c r="J64" s="28" t="s">
        <v>270</v>
      </c>
      <c r="K64" s="28" t="s">
        <v>1810</v>
      </c>
      <c r="L64" s="28" t="s">
        <v>1861</v>
      </c>
      <c r="M64" s="28" t="s">
        <v>275</v>
      </c>
      <c r="N64" s="28" t="s">
        <v>280</v>
      </c>
      <c r="O64" s="28"/>
      <c r="P64" s="28" t="s">
        <v>568</v>
      </c>
      <c r="Q64" s="28" t="s">
        <v>569</v>
      </c>
      <c r="R64" s="28" t="s">
        <v>1889</v>
      </c>
      <c r="S64" t="s">
        <v>568</v>
      </c>
      <c r="T64" t="s">
        <v>2044</v>
      </c>
      <c r="U64" t="s">
        <v>2193</v>
      </c>
      <c r="W64" t="str">
        <f>IF(COUNTIF('Survey 2 Papers'!$D:$D,D64)&gt;0,"Shared with S2","Unique")</f>
        <v>Unique</v>
      </c>
    </row>
    <row r="65" spans="1:23" x14ac:dyDescent="0.35">
      <c r="A65" s="28" t="s">
        <v>1792</v>
      </c>
      <c r="B65" s="28" t="s">
        <v>1896</v>
      </c>
      <c r="C65" s="28">
        <v>2021</v>
      </c>
      <c r="D65" s="28" t="s">
        <v>1897</v>
      </c>
      <c r="E65" s="28" t="s">
        <v>1898</v>
      </c>
      <c r="F65" s="28" t="s">
        <v>1899</v>
      </c>
      <c r="G65" s="28" t="s">
        <v>1808</v>
      </c>
      <c r="H65" s="28"/>
      <c r="I65" s="28" t="s">
        <v>227</v>
      </c>
      <c r="J65" s="28" t="s">
        <v>270</v>
      </c>
      <c r="K65" s="28" t="s">
        <v>1810</v>
      </c>
      <c r="L65" s="28" t="s">
        <v>1861</v>
      </c>
      <c r="M65" s="28" t="s">
        <v>275</v>
      </c>
      <c r="N65" s="28" t="s">
        <v>280</v>
      </c>
      <c r="O65" s="28"/>
      <c r="P65" s="28" t="s">
        <v>568</v>
      </c>
      <c r="Q65" s="28" t="s">
        <v>569</v>
      </c>
      <c r="R65" s="28" t="s">
        <v>1889</v>
      </c>
      <c r="S65" t="s">
        <v>568</v>
      </c>
      <c r="T65" t="s">
        <v>2044</v>
      </c>
      <c r="U65" t="s">
        <v>2193</v>
      </c>
      <c r="W65" t="str">
        <f>IF(COUNTIF('Survey 2 Papers'!$D:$D,D65)&gt;0,"Shared with S2","Unique")</f>
        <v>Unique</v>
      </c>
    </row>
    <row r="66" spans="1:23" x14ac:dyDescent="0.35">
      <c r="A66" s="28" t="s">
        <v>1966</v>
      </c>
      <c r="B66" s="28" t="s">
        <v>1967</v>
      </c>
      <c r="C66" s="28">
        <v>2018</v>
      </c>
      <c r="D66" s="28" t="s">
        <v>1968</v>
      </c>
      <c r="E66" s="28" t="s">
        <v>134</v>
      </c>
      <c r="F66" s="28" t="s">
        <v>1969</v>
      </c>
      <c r="G66" s="28" t="s">
        <v>1808</v>
      </c>
      <c r="H66" s="28"/>
      <c r="I66" s="28" t="s">
        <v>1434</v>
      </c>
      <c r="J66" s="28" t="s">
        <v>276</v>
      </c>
      <c r="K66" s="28" t="s">
        <v>1810</v>
      </c>
      <c r="L66" s="28" t="s">
        <v>1939</v>
      </c>
      <c r="M66" s="28" t="s">
        <v>272</v>
      </c>
      <c r="N66" s="28" t="s">
        <v>280</v>
      </c>
      <c r="O66" s="28"/>
      <c r="P66" s="28" t="s">
        <v>1795</v>
      </c>
      <c r="Q66" s="28" t="s">
        <v>569</v>
      </c>
      <c r="R66" s="28" t="s">
        <v>1970</v>
      </c>
      <c r="S66" t="s">
        <v>571</v>
      </c>
      <c r="T66" t="s">
        <v>2044</v>
      </c>
      <c r="U66" t="s">
        <v>2194</v>
      </c>
      <c r="W66" t="str">
        <f>IF(COUNTIF('Survey 2 Papers'!$D:$D,D66)&gt;0,"Shared with S2","Unique")</f>
        <v>Shared with S2</v>
      </c>
    </row>
    <row r="67" spans="1:23" x14ac:dyDescent="0.35">
      <c r="A67" s="47" t="s">
        <v>18</v>
      </c>
      <c r="B67" s="47" t="s">
        <v>2246</v>
      </c>
      <c r="C67" s="47">
        <v>2019</v>
      </c>
      <c r="D67" s="47" t="s">
        <v>2247</v>
      </c>
      <c r="E67" s="47" t="s">
        <v>2248</v>
      </c>
      <c r="F67" s="47" t="s">
        <v>2249</v>
      </c>
      <c r="G67" s="47" t="s">
        <v>2250</v>
      </c>
      <c r="H67" s="47" t="s">
        <v>2251</v>
      </c>
      <c r="I67" s="47" t="s">
        <v>225</v>
      </c>
      <c r="J67" s="47" t="s">
        <v>273</v>
      </c>
      <c r="K67" s="47" t="s">
        <v>271</v>
      </c>
      <c r="L67" s="47" t="s">
        <v>238</v>
      </c>
      <c r="M67" s="47" t="s">
        <v>285</v>
      </c>
      <c r="N67" s="47" t="s">
        <v>262</v>
      </c>
      <c r="O67" s="47" t="s">
        <v>2252</v>
      </c>
      <c r="P67" s="47"/>
      <c r="Q67" s="47" t="s">
        <v>569</v>
      </c>
      <c r="R67" s="47"/>
      <c r="S67" s="48"/>
      <c r="T67" s="48" t="s">
        <v>382</v>
      </c>
      <c r="U67" s="48" t="s">
        <v>2178</v>
      </c>
      <c r="V67" s="48" t="s">
        <v>2253</v>
      </c>
      <c r="W67" t="str">
        <f>IF(COUNTIF('Survey 2 Papers'!$D:$D,D67)&gt;0,"Shared with S2","Unique")</f>
        <v>Shared with S2</v>
      </c>
    </row>
    <row r="68" spans="1:23" x14ac:dyDescent="0.35">
      <c r="A68" s="47" t="s">
        <v>18</v>
      </c>
      <c r="B68" s="47" t="s">
        <v>2254</v>
      </c>
      <c r="C68" s="47">
        <v>2017</v>
      </c>
      <c r="D68" s="47" t="s">
        <v>2255</v>
      </c>
      <c r="E68" s="47" t="s">
        <v>2256</v>
      </c>
      <c r="F68" s="47" t="s">
        <v>2257</v>
      </c>
      <c r="G68" s="47" t="s">
        <v>291</v>
      </c>
      <c r="H68" s="47" t="s">
        <v>2258</v>
      </c>
      <c r="I68" s="47" t="s">
        <v>226</v>
      </c>
      <c r="J68" s="47" t="s">
        <v>273</v>
      </c>
      <c r="K68" s="47" t="s">
        <v>271</v>
      </c>
      <c r="L68" s="47" t="s">
        <v>238</v>
      </c>
      <c r="M68" s="47" t="s">
        <v>275</v>
      </c>
      <c r="N68" s="47" t="s">
        <v>2259</v>
      </c>
      <c r="O68" s="47" t="s">
        <v>2260</v>
      </c>
      <c r="P68" s="47"/>
      <c r="Q68" s="47" t="s">
        <v>569</v>
      </c>
      <c r="R68" s="47"/>
      <c r="S68" s="48"/>
      <c r="T68" s="48" t="s">
        <v>382</v>
      </c>
      <c r="U68" s="48" t="s">
        <v>2261</v>
      </c>
      <c r="V68" s="48" t="s">
        <v>2253</v>
      </c>
      <c r="W68" t="str">
        <f>IF(COUNTIF('Survey 2 Papers'!$D:$D,D68)&gt;0,"Shared with S2","Unique")</f>
        <v>Unique</v>
      </c>
    </row>
    <row r="69" spans="1:23" x14ac:dyDescent="0.35">
      <c r="A69" s="47" t="s">
        <v>544</v>
      </c>
      <c r="B69" s="47" t="s">
        <v>2262</v>
      </c>
      <c r="C69" s="47">
        <v>2023</v>
      </c>
      <c r="D69" s="47" t="s">
        <v>2263</v>
      </c>
      <c r="E69" s="47" t="s">
        <v>2264</v>
      </c>
      <c r="F69" s="47" t="s">
        <v>2265</v>
      </c>
      <c r="G69" s="47" t="s">
        <v>549</v>
      </c>
      <c r="H69" s="47" t="s">
        <v>2266</v>
      </c>
      <c r="I69" s="47" t="s">
        <v>225</v>
      </c>
      <c r="J69" s="47" t="s">
        <v>274</v>
      </c>
      <c r="K69" s="47" t="s">
        <v>271</v>
      </c>
      <c r="L69" s="47" t="s">
        <v>238</v>
      </c>
      <c r="M69" s="47" t="s">
        <v>285</v>
      </c>
      <c r="N69" s="47" t="s">
        <v>2267</v>
      </c>
      <c r="O69" s="47" t="s">
        <v>2268</v>
      </c>
      <c r="P69" s="47"/>
      <c r="Q69" s="47" t="s">
        <v>569</v>
      </c>
      <c r="R69" s="47"/>
      <c r="S69" s="48"/>
      <c r="T69" s="48" t="s">
        <v>382</v>
      </c>
      <c r="U69" s="48" t="s">
        <v>2269</v>
      </c>
      <c r="V69" s="48" t="s">
        <v>2253</v>
      </c>
      <c r="W69" t="str">
        <f>IF(COUNTIF('Survey 2 Papers'!$D:$D,D69)&gt;0,"Shared with S2","Unique")</f>
        <v>Unique</v>
      </c>
    </row>
    <row r="70" spans="1:23" x14ac:dyDescent="0.35">
      <c r="A70" s="47" t="s">
        <v>18</v>
      </c>
      <c r="B70" s="47" t="s">
        <v>2270</v>
      </c>
      <c r="C70" s="47">
        <v>2022</v>
      </c>
      <c r="D70" s="47" t="s">
        <v>2271</v>
      </c>
      <c r="E70" s="47" t="s">
        <v>2272</v>
      </c>
      <c r="F70" s="47" t="s">
        <v>2273</v>
      </c>
      <c r="G70" s="47" t="s">
        <v>174</v>
      </c>
      <c r="H70" s="47" t="s">
        <v>2274</v>
      </c>
      <c r="I70" s="47" t="s">
        <v>226</v>
      </c>
      <c r="J70" s="47" t="s">
        <v>270</v>
      </c>
      <c r="K70" s="47" t="s">
        <v>271</v>
      </c>
      <c r="L70" s="47" t="s">
        <v>238</v>
      </c>
      <c r="M70" s="47" t="s">
        <v>285</v>
      </c>
      <c r="N70" s="47" t="s">
        <v>2267</v>
      </c>
      <c r="O70" s="47" t="s">
        <v>2275</v>
      </c>
      <c r="P70" s="47"/>
      <c r="Q70" s="47" t="s">
        <v>569</v>
      </c>
      <c r="R70" s="47"/>
      <c r="S70" s="48"/>
      <c r="T70" s="48" t="s">
        <v>382</v>
      </c>
      <c r="U70" s="48">
        <v>3.4</v>
      </c>
      <c r="V70" s="48" t="s">
        <v>2253</v>
      </c>
      <c r="W70" t="str">
        <f>IF(COUNTIF('Survey 2 Papers'!$D:$D,D70)&gt;0,"Shared with S2","Unique")</f>
        <v>Unique</v>
      </c>
    </row>
    <row r="71" spans="1:23" x14ac:dyDescent="0.35">
      <c r="A71" s="47" t="s">
        <v>18</v>
      </c>
      <c r="B71" s="47" t="s">
        <v>2276</v>
      </c>
      <c r="C71" s="47">
        <v>2025</v>
      </c>
      <c r="D71" s="47" t="s">
        <v>2277</v>
      </c>
      <c r="E71" s="47" t="s">
        <v>2278</v>
      </c>
      <c r="F71" s="47" t="s">
        <v>2279</v>
      </c>
      <c r="G71" s="47" t="s">
        <v>183</v>
      </c>
      <c r="H71" s="47" t="s">
        <v>2280</v>
      </c>
      <c r="I71" s="47" t="s">
        <v>225</v>
      </c>
      <c r="J71" s="47" t="s">
        <v>278</v>
      </c>
      <c r="K71" s="47" t="s">
        <v>271</v>
      </c>
      <c r="L71" s="47" t="s">
        <v>238</v>
      </c>
      <c r="M71" s="47" t="s">
        <v>285</v>
      </c>
      <c r="N71" s="47" t="s">
        <v>2281</v>
      </c>
      <c r="O71" s="47" t="s">
        <v>2282</v>
      </c>
      <c r="P71" s="47"/>
      <c r="Q71" s="47" t="s">
        <v>569</v>
      </c>
      <c r="R71" s="47"/>
      <c r="S71" s="48"/>
      <c r="T71" s="48" t="s">
        <v>382</v>
      </c>
      <c r="U71" s="48" t="s">
        <v>2283</v>
      </c>
      <c r="V71" s="48" t="s">
        <v>2253</v>
      </c>
      <c r="W71" t="str">
        <f>IF(COUNTIF('Survey 2 Papers'!$D:$D,D71)&gt;0,"Shared with S2","Unique")</f>
        <v>Unique</v>
      </c>
    </row>
    <row r="72" spans="1:23" x14ac:dyDescent="0.35">
      <c r="A72" s="47" t="s">
        <v>9</v>
      </c>
      <c r="B72" s="47" t="s">
        <v>2284</v>
      </c>
      <c r="C72" s="47">
        <v>2019</v>
      </c>
      <c r="D72" s="47" t="s">
        <v>2285</v>
      </c>
      <c r="E72" s="47" t="s">
        <v>2286</v>
      </c>
      <c r="F72" s="47" t="s">
        <v>2287</v>
      </c>
      <c r="G72" s="47" t="s">
        <v>174</v>
      </c>
      <c r="H72" s="47" t="s">
        <v>2288</v>
      </c>
      <c r="I72" s="47" t="s">
        <v>225</v>
      </c>
      <c r="J72" s="47" t="s">
        <v>274</v>
      </c>
      <c r="K72" s="47" t="s">
        <v>271</v>
      </c>
      <c r="L72" s="47" t="s">
        <v>238</v>
      </c>
      <c r="M72" s="47" t="s">
        <v>285</v>
      </c>
      <c r="N72" s="47" t="s">
        <v>2289</v>
      </c>
      <c r="O72" s="47" t="s">
        <v>2290</v>
      </c>
      <c r="P72" s="47"/>
      <c r="Q72" s="47" t="s">
        <v>569</v>
      </c>
      <c r="R72" s="47"/>
      <c r="S72" s="48"/>
      <c r="T72" s="48" t="s">
        <v>382</v>
      </c>
      <c r="U72" s="48" t="s">
        <v>2291</v>
      </c>
      <c r="V72" s="48" t="s">
        <v>2253</v>
      </c>
      <c r="W72" t="str">
        <f>IF(COUNTIF('Survey 2 Papers'!$D:$D,D72)&gt;0,"Shared with S2","Unique")</f>
        <v>Unique</v>
      </c>
    </row>
    <row r="73" spans="1:23" x14ac:dyDescent="0.35">
      <c r="A73" s="47" t="s">
        <v>9</v>
      </c>
      <c r="B73" s="47" t="s">
        <v>2292</v>
      </c>
      <c r="C73" s="47">
        <v>2021</v>
      </c>
      <c r="D73" s="47" t="s">
        <v>2293</v>
      </c>
      <c r="E73" s="47" t="s">
        <v>2294</v>
      </c>
      <c r="F73" s="47" t="s">
        <v>2295</v>
      </c>
      <c r="G73" s="47" t="s">
        <v>174</v>
      </c>
      <c r="H73" s="47" t="s">
        <v>2296</v>
      </c>
      <c r="I73" s="47" t="s">
        <v>226</v>
      </c>
      <c r="J73" s="47" t="s">
        <v>270</v>
      </c>
      <c r="K73" s="47" t="s">
        <v>271</v>
      </c>
      <c r="L73" s="47" t="s">
        <v>238</v>
      </c>
      <c r="M73" s="47" t="s">
        <v>285</v>
      </c>
      <c r="N73" s="47" t="s">
        <v>563</v>
      </c>
      <c r="O73" s="47" t="s">
        <v>2297</v>
      </c>
      <c r="P73" s="47"/>
      <c r="Q73" s="47" t="s">
        <v>569</v>
      </c>
      <c r="R73" s="47"/>
      <c r="S73" s="48"/>
      <c r="T73" s="48" t="s">
        <v>382</v>
      </c>
      <c r="U73" s="48">
        <v>3.1</v>
      </c>
      <c r="V73" s="48" t="s">
        <v>2253</v>
      </c>
      <c r="W73" t="str">
        <f>IF(COUNTIF('Survey 2 Papers'!$D:$D,D73)&gt;0,"Shared with S2","Unique")</f>
        <v>Unique</v>
      </c>
    </row>
    <row r="74" spans="1:23" x14ac:dyDescent="0.35">
      <c r="A74" s="47" t="s">
        <v>9</v>
      </c>
      <c r="B74" s="47" t="s">
        <v>2298</v>
      </c>
      <c r="C74" s="47">
        <v>2014</v>
      </c>
      <c r="D74" s="47" t="s">
        <v>2299</v>
      </c>
      <c r="E74" s="47" t="s">
        <v>2300</v>
      </c>
      <c r="F74" s="47" t="s">
        <v>2301</v>
      </c>
      <c r="G74" s="47" t="s">
        <v>174</v>
      </c>
      <c r="H74" s="47" t="s">
        <v>2302</v>
      </c>
      <c r="I74" s="47" t="s">
        <v>225</v>
      </c>
      <c r="J74" s="47" t="s">
        <v>270</v>
      </c>
      <c r="K74" s="47" t="s">
        <v>271</v>
      </c>
      <c r="L74" s="47" t="s">
        <v>238</v>
      </c>
      <c r="M74" s="47" t="s">
        <v>275</v>
      </c>
      <c r="N74" s="47" t="s">
        <v>240</v>
      </c>
      <c r="O74" s="47" t="s">
        <v>2303</v>
      </c>
      <c r="P74" s="47"/>
      <c r="Q74" s="47" t="s">
        <v>569</v>
      </c>
      <c r="R74" s="47"/>
      <c r="S74" s="48"/>
      <c r="T74" s="48" t="s">
        <v>382</v>
      </c>
      <c r="U74" s="48">
        <v>3.1</v>
      </c>
      <c r="V74" s="48" t="s">
        <v>2253</v>
      </c>
      <c r="W74" t="str">
        <f>IF(COUNTIF('Survey 2 Papers'!$D:$D,D74)&gt;0,"Shared with S2","Unique")</f>
        <v>Unique</v>
      </c>
    </row>
    <row r="75" spans="1:23" x14ac:dyDescent="0.35">
      <c r="A75" s="47" t="s">
        <v>9</v>
      </c>
      <c r="B75" s="47" t="s">
        <v>2304</v>
      </c>
      <c r="C75" s="47">
        <v>2019</v>
      </c>
      <c r="D75" s="47" t="s">
        <v>2305</v>
      </c>
      <c r="E75" s="47" t="s">
        <v>2306</v>
      </c>
      <c r="F75" s="47" t="s">
        <v>2307</v>
      </c>
      <c r="G75" s="47" t="s">
        <v>174</v>
      </c>
      <c r="H75" s="47" t="s">
        <v>2308</v>
      </c>
      <c r="I75" s="47" t="s">
        <v>226</v>
      </c>
      <c r="J75" s="47" t="s">
        <v>270</v>
      </c>
      <c r="K75" s="47" t="s">
        <v>271</v>
      </c>
      <c r="L75" s="47" t="s">
        <v>238</v>
      </c>
      <c r="M75" s="47" t="s">
        <v>275</v>
      </c>
      <c r="N75" s="47" t="s">
        <v>2309</v>
      </c>
      <c r="O75" s="47" t="s">
        <v>2310</v>
      </c>
      <c r="P75" s="47"/>
      <c r="Q75" s="47" t="s">
        <v>569</v>
      </c>
      <c r="R75" s="47"/>
      <c r="S75" s="48"/>
      <c r="T75" s="48" t="s">
        <v>382</v>
      </c>
      <c r="U75" s="48" t="s">
        <v>2311</v>
      </c>
      <c r="V75" s="48" t="s">
        <v>2312</v>
      </c>
      <c r="W75" t="str">
        <f>IF(COUNTIF('Survey 2 Papers'!$D:$D,D75)&gt;0,"Shared with S2","Unique")</f>
        <v>Unique</v>
      </c>
    </row>
    <row r="76" spans="1:23" x14ac:dyDescent="0.35">
      <c r="A76" s="47" t="s">
        <v>404</v>
      </c>
      <c r="B76" s="47" t="s">
        <v>2313</v>
      </c>
      <c r="C76" s="47">
        <v>2022</v>
      </c>
      <c r="D76" s="47" t="s">
        <v>2314</v>
      </c>
      <c r="E76" s="47" t="s">
        <v>2315</v>
      </c>
      <c r="F76" s="47" t="s">
        <v>2316</v>
      </c>
      <c r="G76" s="47" t="s">
        <v>174</v>
      </c>
      <c r="H76" s="47" t="s">
        <v>2317</v>
      </c>
      <c r="I76" s="47" t="s">
        <v>225</v>
      </c>
      <c r="J76" s="47" t="s">
        <v>276</v>
      </c>
      <c r="K76" s="47" t="s">
        <v>271</v>
      </c>
      <c r="L76" s="47" t="s">
        <v>238</v>
      </c>
      <c r="M76" s="47" t="s">
        <v>285</v>
      </c>
      <c r="N76" s="47" t="s">
        <v>233</v>
      </c>
      <c r="O76" s="47" t="s">
        <v>2318</v>
      </c>
      <c r="P76" s="47"/>
      <c r="Q76" s="47" t="s">
        <v>569</v>
      </c>
      <c r="R76" s="47"/>
      <c r="S76" s="48"/>
      <c r="T76" s="48" t="s">
        <v>382</v>
      </c>
      <c r="U76" s="48">
        <v>3.3</v>
      </c>
      <c r="V76" s="48" t="s">
        <v>2253</v>
      </c>
      <c r="W76" t="str">
        <f>IF(COUNTIF('Survey 2 Papers'!$D:$D,D76)&gt;0,"Shared with S2","Unique")</f>
        <v>Shared with S2</v>
      </c>
    </row>
    <row r="77" spans="1:23" x14ac:dyDescent="0.35">
      <c r="A77" s="47" t="s">
        <v>10</v>
      </c>
      <c r="B77" s="47" t="s">
        <v>2319</v>
      </c>
      <c r="C77" s="47">
        <v>2018</v>
      </c>
      <c r="D77" s="47" t="s">
        <v>2320</v>
      </c>
      <c r="E77" s="47" t="s">
        <v>2321</v>
      </c>
      <c r="F77" s="47" t="s">
        <v>2322</v>
      </c>
      <c r="G77" s="47" t="s">
        <v>174</v>
      </c>
      <c r="H77" s="47" t="s">
        <v>2323</v>
      </c>
      <c r="I77" s="47" t="s">
        <v>225</v>
      </c>
      <c r="J77" s="47" t="s">
        <v>276</v>
      </c>
      <c r="K77" s="47" t="s">
        <v>271</v>
      </c>
      <c r="L77" s="47" t="s">
        <v>284</v>
      </c>
      <c r="M77" s="47" t="s">
        <v>275</v>
      </c>
      <c r="N77" s="47" t="s">
        <v>240</v>
      </c>
      <c r="O77" s="47" t="s">
        <v>2324</v>
      </c>
      <c r="P77" s="47"/>
      <c r="Q77" s="47" t="s">
        <v>569</v>
      </c>
      <c r="R77" s="47"/>
      <c r="S77" s="48"/>
      <c r="T77" s="48" t="s">
        <v>382</v>
      </c>
      <c r="U77" s="48" t="s">
        <v>2176</v>
      </c>
      <c r="V77" s="48" t="s">
        <v>2253</v>
      </c>
      <c r="W77" t="str">
        <f>IF(COUNTIF('Survey 2 Papers'!$D:$D,D77)&gt;0,"Shared with S2","Unique")</f>
        <v>Unique</v>
      </c>
    </row>
    <row r="78" spans="1:23" x14ac:dyDescent="0.35">
      <c r="A78" s="47" t="s">
        <v>10</v>
      </c>
      <c r="B78" s="47" t="s">
        <v>2325</v>
      </c>
      <c r="C78" s="47">
        <v>2025</v>
      </c>
      <c r="D78" s="47" t="s">
        <v>2326</v>
      </c>
      <c r="E78" s="47" t="s">
        <v>2327</v>
      </c>
      <c r="F78" s="47" t="s">
        <v>2328</v>
      </c>
      <c r="G78" s="47" t="s">
        <v>183</v>
      </c>
      <c r="H78" s="47" t="s">
        <v>2329</v>
      </c>
      <c r="I78" s="47" t="s">
        <v>225</v>
      </c>
      <c r="J78" s="47" t="s">
        <v>276</v>
      </c>
      <c r="K78" s="47" t="s">
        <v>271</v>
      </c>
      <c r="L78" s="47" t="s">
        <v>284</v>
      </c>
      <c r="M78" s="47" t="s">
        <v>275</v>
      </c>
      <c r="N78" s="47" t="s">
        <v>233</v>
      </c>
      <c r="O78" s="47" t="s">
        <v>2330</v>
      </c>
      <c r="P78" s="47"/>
      <c r="Q78" s="47" t="s">
        <v>569</v>
      </c>
      <c r="R78" s="47"/>
      <c r="S78" s="48"/>
      <c r="T78" s="48" t="s">
        <v>382</v>
      </c>
      <c r="U78" s="48" t="s">
        <v>2331</v>
      </c>
      <c r="V78" s="48" t="s">
        <v>2253</v>
      </c>
      <c r="W78" t="str">
        <f>IF(COUNTIF('Survey 2 Papers'!$D:$D,D78)&gt;0,"Shared with S2","Unique")</f>
        <v>Unique</v>
      </c>
    </row>
    <row r="79" spans="1:23" x14ac:dyDescent="0.35">
      <c r="A79" s="47" t="s">
        <v>378</v>
      </c>
      <c r="B79" s="47" t="s">
        <v>2332</v>
      </c>
      <c r="C79" s="47">
        <v>2023</v>
      </c>
      <c r="D79" s="47" t="s">
        <v>2333</v>
      </c>
      <c r="E79" s="47" t="s">
        <v>2334</v>
      </c>
      <c r="F79" s="47" t="s">
        <v>2335</v>
      </c>
      <c r="G79" s="47" t="s">
        <v>2336</v>
      </c>
      <c r="H79" s="47" t="s">
        <v>2337</v>
      </c>
      <c r="I79" s="47" t="s">
        <v>225</v>
      </c>
      <c r="J79" s="47" t="s">
        <v>273</v>
      </c>
      <c r="K79" s="47" t="s">
        <v>271</v>
      </c>
      <c r="L79" s="47" t="s">
        <v>238</v>
      </c>
      <c r="M79" s="47" t="s">
        <v>275</v>
      </c>
      <c r="N79" s="47" t="s">
        <v>233</v>
      </c>
      <c r="O79" s="47" t="s">
        <v>2338</v>
      </c>
      <c r="P79" s="47"/>
      <c r="Q79" s="47" t="s">
        <v>569</v>
      </c>
      <c r="R79" s="47"/>
      <c r="S79" s="48"/>
      <c r="T79" s="48" t="s">
        <v>382</v>
      </c>
      <c r="U79" s="48" t="s">
        <v>2192</v>
      </c>
      <c r="V79" s="48" t="s">
        <v>2253</v>
      </c>
      <c r="W79" t="str">
        <f>IF(COUNTIF('Survey 2 Papers'!$D:$D,D79)&gt;0,"Shared with S2","Unique")</f>
        <v>Unique</v>
      </c>
    </row>
    <row r="80" spans="1:23" x14ac:dyDescent="0.35">
      <c r="A80" s="47" t="s">
        <v>378</v>
      </c>
      <c r="B80" s="47" t="s">
        <v>2339</v>
      </c>
      <c r="C80" s="47">
        <v>2019</v>
      </c>
      <c r="D80" s="47" t="s">
        <v>2340</v>
      </c>
      <c r="E80" s="47" t="s">
        <v>2341</v>
      </c>
      <c r="F80" s="47" t="s">
        <v>2342</v>
      </c>
      <c r="G80" s="47" t="s">
        <v>2343</v>
      </c>
      <c r="H80" s="47" t="s">
        <v>2344</v>
      </c>
      <c r="I80" s="47" t="s">
        <v>226</v>
      </c>
      <c r="J80" s="47" t="s">
        <v>273</v>
      </c>
      <c r="K80" s="47" t="s">
        <v>271</v>
      </c>
      <c r="L80" s="47" t="s">
        <v>238</v>
      </c>
      <c r="M80" s="47" t="s">
        <v>272</v>
      </c>
      <c r="N80" s="47" t="s">
        <v>235</v>
      </c>
      <c r="O80" s="47" t="s">
        <v>2345</v>
      </c>
      <c r="P80" s="47"/>
      <c r="Q80" s="47" t="s">
        <v>569</v>
      </c>
      <c r="R80" s="47"/>
      <c r="S80" s="48"/>
      <c r="T80" s="48" t="s">
        <v>382</v>
      </c>
      <c r="U80" s="48" t="s">
        <v>2192</v>
      </c>
      <c r="V80" s="48" t="s">
        <v>2253</v>
      </c>
      <c r="W80" t="str">
        <f>IF(COUNTIF('Survey 2 Papers'!$D:$D,D80)&gt;0,"Shared with S2","Unique")</f>
        <v>Unique</v>
      </c>
    </row>
    <row r="81" spans="1:23" x14ac:dyDescent="0.35">
      <c r="A81" s="47" t="s">
        <v>378</v>
      </c>
      <c r="B81" s="47" t="s">
        <v>2346</v>
      </c>
      <c r="C81" s="47">
        <v>2017</v>
      </c>
      <c r="D81" s="47" t="s">
        <v>2347</v>
      </c>
      <c r="E81" s="47" t="s">
        <v>2348</v>
      </c>
      <c r="F81" s="47" t="s">
        <v>2349</v>
      </c>
      <c r="G81" s="47" t="s">
        <v>2350</v>
      </c>
      <c r="H81" s="47" t="s">
        <v>2351</v>
      </c>
      <c r="I81" s="47" t="s">
        <v>226</v>
      </c>
      <c r="J81" s="47" t="s">
        <v>273</v>
      </c>
      <c r="K81" s="47" t="s">
        <v>271</v>
      </c>
      <c r="L81" s="47" t="s">
        <v>238</v>
      </c>
      <c r="M81" s="47" t="s">
        <v>272</v>
      </c>
      <c r="N81" s="47" t="s">
        <v>240</v>
      </c>
      <c r="O81" s="47" t="s">
        <v>2352</v>
      </c>
      <c r="P81" s="47"/>
      <c r="Q81" s="47" t="s">
        <v>569</v>
      </c>
      <c r="R81" s="47"/>
      <c r="S81" s="48"/>
      <c r="T81" s="48" t="s">
        <v>382</v>
      </c>
      <c r="U81" s="48" t="s">
        <v>2192</v>
      </c>
      <c r="V81" s="48" t="s">
        <v>2312</v>
      </c>
      <c r="W81" t="str">
        <f>IF(COUNTIF('Survey 2 Papers'!$D:$D,D81)&gt;0,"Shared with S2","Unique")</f>
        <v>Unique</v>
      </c>
    </row>
    <row r="82" spans="1:23" x14ac:dyDescent="0.35">
      <c r="A82" s="47" t="s">
        <v>511</v>
      </c>
      <c r="B82" s="47" t="s">
        <v>2353</v>
      </c>
      <c r="C82" s="47">
        <v>2025</v>
      </c>
      <c r="D82" s="47" t="s">
        <v>2354</v>
      </c>
      <c r="E82" s="47" t="s">
        <v>2355</v>
      </c>
      <c r="F82" s="47" t="s">
        <v>2356</v>
      </c>
      <c r="G82" s="47" t="s">
        <v>183</v>
      </c>
      <c r="H82" s="47" t="s">
        <v>2357</v>
      </c>
      <c r="I82" s="47" t="s">
        <v>225</v>
      </c>
      <c r="J82" s="47" t="s">
        <v>278</v>
      </c>
      <c r="K82" s="47" t="s">
        <v>271</v>
      </c>
      <c r="L82" s="47" t="s">
        <v>238</v>
      </c>
      <c r="M82" s="47" t="s">
        <v>285</v>
      </c>
      <c r="N82" s="47" t="s">
        <v>2358</v>
      </c>
      <c r="O82" s="47" t="s">
        <v>2359</v>
      </c>
      <c r="P82" s="47"/>
      <c r="Q82" s="47" t="s">
        <v>569</v>
      </c>
      <c r="R82" s="47"/>
      <c r="S82" s="48"/>
      <c r="T82" s="48" t="s">
        <v>382</v>
      </c>
      <c r="U82" s="48" t="s">
        <v>2360</v>
      </c>
      <c r="V82" s="48" t="s">
        <v>2253</v>
      </c>
      <c r="W82" t="str">
        <f>IF(COUNTIF('Survey 2 Papers'!$D:$D,D82)&gt;0,"Shared with S2","Unique")</f>
        <v>Unique</v>
      </c>
    </row>
    <row r="83" spans="1:23" x14ac:dyDescent="0.35">
      <c r="A83" s="47" t="s">
        <v>511</v>
      </c>
      <c r="B83" s="47" t="s">
        <v>2361</v>
      </c>
      <c r="C83" s="47">
        <v>2018</v>
      </c>
      <c r="D83" s="47" t="s">
        <v>2362</v>
      </c>
      <c r="E83" s="47" t="s">
        <v>2363</v>
      </c>
      <c r="F83" s="47" t="s">
        <v>2364</v>
      </c>
      <c r="G83" s="47" t="s">
        <v>721</v>
      </c>
      <c r="H83" s="47" t="s">
        <v>2365</v>
      </c>
      <c r="I83" s="47" t="s">
        <v>225</v>
      </c>
      <c r="J83" s="47" t="s">
        <v>278</v>
      </c>
      <c r="K83" s="47" t="s">
        <v>271</v>
      </c>
      <c r="L83" s="47" t="s">
        <v>238</v>
      </c>
      <c r="M83" s="47" t="s">
        <v>285</v>
      </c>
      <c r="N83" s="47" t="s">
        <v>235</v>
      </c>
      <c r="O83" s="47" t="s">
        <v>2366</v>
      </c>
      <c r="P83" s="47"/>
      <c r="Q83" s="47" t="s">
        <v>569</v>
      </c>
      <c r="R83" s="47"/>
      <c r="S83" s="48"/>
      <c r="T83" s="48" t="s">
        <v>382</v>
      </c>
      <c r="U83" s="48" t="s">
        <v>2367</v>
      </c>
      <c r="V83" s="48" t="s">
        <v>2253</v>
      </c>
      <c r="W83" t="str">
        <f>IF(COUNTIF('Survey 2 Papers'!$D:$D,D83)&gt;0,"Shared with S2","Unique")</f>
        <v>Unique</v>
      </c>
    </row>
    <row r="84" spans="1:23" x14ac:dyDescent="0.35">
      <c r="A84" s="47" t="s">
        <v>511</v>
      </c>
      <c r="B84" s="47" t="s">
        <v>2368</v>
      </c>
      <c r="C84" s="47">
        <v>2021</v>
      </c>
      <c r="D84" s="47" t="s">
        <v>2369</v>
      </c>
      <c r="E84" s="47" t="s">
        <v>2370</v>
      </c>
      <c r="F84" s="47" t="s">
        <v>2371</v>
      </c>
      <c r="G84" s="47" t="s">
        <v>183</v>
      </c>
      <c r="H84" s="47" t="s">
        <v>2372</v>
      </c>
      <c r="I84" s="47" t="s">
        <v>226</v>
      </c>
      <c r="J84" s="47" t="s">
        <v>278</v>
      </c>
      <c r="K84" s="47" t="s">
        <v>271</v>
      </c>
      <c r="L84" s="47" t="s">
        <v>238</v>
      </c>
      <c r="M84" s="47" t="s">
        <v>285</v>
      </c>
      <c r="N84" s="47" t="s">
        <v>2373</v>
      </c>
      <c r="O84" s="47" t="s">
        <v>2374</v>
      </c>
      <c r="P84" s="47"/>
      <c r="Q84" s="47" t="s">
        <v>569</v>
      </c>
      <c r="R84" s="47"/>
      <c r="S84" s="48"/>
      <c r="T84" s="48" t="s">
        <v>382</v>
      </c>
      <c r="U84" s="48">
        <v>3.5</v>
      </c>
      <c r="V84" s="48" t="s">
        <v>2253</v>
      </c>
      <c r="W84" t="str">
        <f>IF(COUNTIF('Survey 2 Papers'!$D:$D,D84)&gt;0,"Shared with S2","Unique")</f>
        <v>Unique</v>
      </c>
    </row>
    <row r="85" spans="1:23" x14ac:dyDescent="0.35">
      <c r="A85" s="47" t="s">
        <v>511</v>
      </c>
      <c r="B85" s="47" t="s">
        <v>2375</v>
      </c>
      <c r="C85" s="47">
        <v>2019</v>
      </c>
      <c r="D85" s="47" t="s">
        <v>2376</v>
      </c>
      <c r="E85" s="47" t="s">
        <v>2377</v>
      </c>
      <c r="F85" s="47" t="s">
        <v>2378</v>
      </c>
      <c r="G85" s="47" t="s">
        <v>178</v>
      </c>
      <c r="H85" s="47" t="s">
        <v>2379</v>
      </c>
      <c r="I85" s="47" t="s">
        <v>226</v>
      </c>
      <c r="J85" s="47" t="s">
        <v>278</v>
      </c>
      <c r="K85" s="47" t="s">
        <v>271</v>
      </c>
      <c r="L85" s="47" t="s">
        <v>238</v>
      </c>
      <c r="M85" s="47" t="s">
        <v>275</v>
      </c>
      <c r="N85" s="47" t="s">
        <v>233</v>
      </c>
      <c r="O85" s="47" t="s">
        <v>2380</v>
      </c>
      <c r="P85" s="47"/>
      <c r="Q85" s="47" t="s">
        <v>569</v>
      </c>
      <c r="R85" s="47"/>
      <c r="S85" s="48"/>
      <c r="T85" s="48" t="s">
        <v>382</v>
      </c>
      <c r="U85" s="48">
        <v>3.5</v>
      </c>
      <c r="V85" s="48" t="s">
        <v>2312</v>
      </c>
      <c r="W85" t="str">
        <f>IF(COUNTIF('Survey 2 Papers'!$D:$D,D85)&gt;0,"Shared with S2","Unique")</f>
        <v>Unique</v>
      </c>
    </row>
    <row r="86" spans="1:23" x14ac:dyDescent="0.35">
      <c r="A86" s="47" t="s">
        <v>2381</v>
      </c>
      <c r="B86" s="47" t="s">
        <v>2382</v>
      </c>
      <c r="C86" s="47">
        <v>2020</v>
      </c>
      <c r="D86" s="47" t="s">
        <v>2383</v>
      </c>
      <c r="E86" s="47" t="s">
        <v>2384</v>
      </c>
      <c r="F86" s="47" t="s">
        <v>2385</v>
      </c>
      <c r="G86" s="47" t="s">
        <v>2386</v>
      </c>
      <c r="H86" s="47" t="s">
        <v>2387</v>
      </c>
      <c r="I86" s="47" t="s">
        <v>226</v>
      </c>
      <c r="J86" s="47" t="s">
        <v>273</v>
      </c>
      <c r="K86" s="47" t="s">
        <v>271</v>
      </c>
      <c r="L86" s="47" t="s">
        <v>238</v>
      </c>
      <c r="M86" s="47" t="s">
        <v>275</v>
      </c>
      <c r="N86" s="47" t="s">
        <v>233</v>
      </c>
      <c r="O86" s="47" t="s">
        <v>2388</v>
      </c>
      <c r="P86" s="47"/>
      <c r="Q86" s="47" t="s">
        <v>569</v>
      </c>
      <c r="R86" s="47"/>
      <c r="S86" s="48"/>
      <c r="T86" s="48" t="s">
        <v>382</v>
      </c>
      <c r="U86" s="48" t="s">
        <v>2389</v>
      </c>
      <c r="V86" s="48" t="s">
        <v>2312</v>
      </c>
      <c r="W86" t="str">
        <f>IF(COUNTIF('Survey 2 Papers'!$D:$D,D86)&gt;0,"Shared with S2","Unique")</f>
        <v>Unique</v>
      </c>
    </row>
    <row r="87" spans="1:23" x14ac:dyDescent="0.35">
      <c r="A87" s="47" t="s">
        <v>2381</v>
      </c>
      <c r="B87" s="47" t="s">
        <v>2390</v>
      </c>
      <c r="C87" s="47">
        <v>2020</v>
      </c>
      <c r="D87" s="47" t="s">
        <v>2391</v>
      </c>
      <c r="E87" s="47" t="s">
        <v>2392</v>
      </c>
      <c r="F87" s="47" t="s">
        <v>2393</v>
      </c>
      <c r="G87" s="47" t="s">
        <v>2394</v>
      </c>
      <c r="H87" s="47" t="s">
        <v>2395</v>
      </c>
      <c r="I87" s="47" t="s">
        <v>226</v>
      </c>
      <c r="J87" s="47" t="s">
        <v>273</v>
      </c>
      <c r="K87" s="47" t="s">
        <v>271</v>
      </c>
      <c r="L87" s="47" t="s">
        <v>238</v>
      </c>
      <c r="M87" s="47" t="s">
        <v>275</v>
      </c>
      <c r="N87" s="47" t="s">
        <v>233</v>
      </c>
      <c r="O87" s="47" t="s">
        <v>2396</v>
      </c>
      <c r="P87" s="47"/>
      <c r="Q87" s="47" t="s">
        <v>569</v>
      </c>
      <c r="R87" s="47"/>
      <c r="S87" s="48"/>
      <c r="T87" s="48" t="s">
        <v>382</v>
      </c>
      <c r="U87" s="48" t="s">
        <v>2389</v>
      </c>
      <c r="V87" s="48" t="s">
        <v>2312</v>
      </c>
      <c r="W87" t="str">
        <f>IF(COUNTIF('Survey 2 Papers'!$D:$D,D87)&gt;0,"Shared with S2","Unique")</f>
        <v>Unique</v>
      </c>
    </row>
    <row r="88" spans="1:23" x14ac:dyDescent="0.35">
      <c r="A88" s="47" t="s">
        <v>18</v>
      </c>
      <c r="B88" s="47" t="s">
        <v>2397</v>
      </c>
      <c r="C88" s="47">
        <v>1998</v>
      </c>
      <c r="D88" s="47" t="s">
        <v>2398</v>
      </c>
      <c r="E88" s="47" t="s">
        <v>2399</v>
      </c>
      <c r="F88" s="47" t="s">
        <v>2400</v>
      </c>
      <c r="G88" s="47" t="s">
        <v>721</v>
      </c>
      <c r="H88" s="47" t="s">
        <v>2401</v>
      </c>
      <c r="I88" s="47" t="s">
        <v>226</v>
      </c>
      <c r="J88" s="47" t="s">
        <v>273</v>
      </c>
      <c r="K88" s="47" t="s">
        <v>271</v>
      </c>
      <c r="L88" s="47" t="s">
        <v>238</v>
      </c>
      <c r="M88" s="47" t="s">
        <v>275</v>
      </c>
      <c r="N88" s="47" t="s">
        <v>240</v>
      </c>
      <c r="O88" s="47" t="s">
        <v>2402</v>
      </c>
      <c r="P88" s="47"/>
      <c r="Q88" s="47" t="s">
        <v>569</v>
      </c>
      <c r="R88" s="47"/>
      <c r="S88" s="48"/>
      <c r="T88" s="48" t="s">
        <v>382</v>
      </c>
      <c r="U88" s="48" t="s">
        <v>2184</v>
      </c>
      <c r="V88" s="48" t="s">
        <v>2312</v>
      </c>
      <c r="W88" t="str">
        <f>IF(COUNTIF('Survey 2 Papers'!$D:$D,D88)&gt;0,"Shared with S2","Unique")</f>
        <v>Unique</v>
      </c>
    </row>
    <row r="89" spans="1:23" x14ac:dyDescent="0.35">
      <c r="A89" s="47" t="s">
        <v>442</v>
      </c>
      <c r="B89" s="47" t="s">
        <v>2724</v>
      </c>
      <c r="C89" s="47">
        <v>1982</v>
      </c>
      <c r="D89" s="47" t="s">
        <v>2725</v>
      </c>
      <c r="E89" s="47" t="s">
        <v>2726</v>
      </c>
      <c r="F89" s="47" t="s">
        <v>2727</v>
      </c>
      <c r="G89" s="47" t="s">
        <v>2456</v>
      </c>
      <c r="H89" s="47" t="s">
        <v>2728</v>
      </c>
      <c r="I89" s="47" t="s">
        <v>225</v>
      </c>
      <c r="J89" s="47" t="s">
        <v>273</v>
      </c>
      <c r="K89" s="47" t="s">
        <v>271</v>
      </c>
      <c r="L89" s="47" t="s">
        <v>238</v>
      </c>
      <c r="M89" s="47" t="s">
        <v>272</v>
      </c>
      <c r="N89" s="47" t="s">
        <v>468</v>
      </c>
      <c r="O89" s="47" t="s">
        <v>2729</v>
      </c>
      <c r="P89" s="47"/>
      <c r="Q89" s="47" t="s">
        <v>569</v>
      </c>
      <c r="R89" s="47"/>
      <c r="S89" s="48"/>
      <c r="T89" s="48" t="s">
        <v>382</v>
      </c>
      <c r="U89" s="52" t="s">
        <v>2730</v>
      </c>
      <c r="V89" s="48" t="s">
        <v>2253</v>
      </c>
      <c r="W89" t="str">
        <f>IF(COUNTIF('Survey 2 Papers'!$D:$D,D89)&gt;0,"Shared with S2","Unique")</f>
        <v>Unique</v>
      </c>
    </row>
    <row r="90" spans="1:23" x14ac:dyDescent="0.35">
      <c r="A90" s="47" t="s">
        <v>442</v>
      </c>
      <c r="B90" s="47" t="s">
        <v>2731</v>
      </c>
      <c r="C90" s="47">
        <v>1985</v>
      </c>
      <c r="D90" s="47" t="s">
        <v>2732</v>
      </c>
      <c r="E90" s="47" t="s">
        <v>2733</v>
      </c>
      <c r="F90" s="47" t="s">
        <v>2734</v>
      </c>
      <c r="G90" s="47" t="s">
        <v>2735</v>
      </c>
      <c r="H90" s="47" t="s">
        <v>2736</v>
      </c>
      <c r="I90" s="47" t="s">
        <v>225</v>
      </c>
      <c r="J90" s="47" t="s">
        <v>273</v>
      </c>
      <c r="K90" s="47" t="s">
        <v>271</v>
      </c>
      <c r="L90" s="47" t="s">
        <v>238</v>
      </c>
      <c r="M90" s="47" t="s">
        <v>272</v>
      </c>
      <c r="N90" s="47" t="s">
        <v>468</v>
      </c>
      <c r="O90" s="47" t="s">
        <v>2729</v>
      </c>
      <c r="P90" s="47"/>
      <c r="Q90" s="47" t="s">
        <v>569</v>
      </c>
      <c r="R90" s="47"/>
      <c r="S90" s="48"/>
      <c r="T90" s="48" t="s">
        <v>382</v>
      </c>
      <c r="U90" s="52" t="s">
        <v>2730</v>
      </c>
      <c r="V90" s="48" t="s">
        <v>2312</v>
      </c>
      <c r="W90" t="str">
        <f>IF(COUNTIF('Survey 2 Papers'!$D:$D,D90)&gt;0,"Shared with S2","Unique")</f>
        <v>Unique</v>
      </c>
    </row>
    <row r="91" spans="1:23" x14ac:dyDescent="0.35">
      <c r="A91" s="47" t="s">
        <v>442</v>
      </c>
      <c r="B91" s="47" t="s">
        <v>2737</v>
      </c>
      <c r="C91" s="47">
        <v>1992</v>
      </c>
      <c r="D91" s="47" t="s">
        <v>2738</v>
      </c>
      <c r="E91" s="47" t="s">
        <v>2739</v>
      </c>
      <c r="F91" s="47" t="s">
        <v>2740</v>
      </c>
      <c r="G91" s="47" t="s">
        <v>2735</v>
      </c>
      <c r="H91" s="47" t="s">
        <v>2741</v>
      </c>
      <c r="I91" s="47" t="s">
        <v>226</v>
      </c>
      <c r="J91" s="47" t="s">
        <v>273</v>
      </c>
      <c r="K91" s="47" t="s">
        <v>271</v>
      </c>
      <c r="L91" s="47" t="s">
        <v>238</v>
      </c>
      <c r="M91" s="47" t="s">
        <v>272</v>
      </c>
      <c r="N91" s="47" t="s">
        <v>468</v>
      </c>
      <c r="O91" s="47" t="s">
        <v>2742</v>
      </c>
      <c r="P91" s="47"/>
      <c r="Q91" s="47" t="s">
        <v>569</v>
      </c>
      <c r="R91" s="47"/>
      <c r="S91" s="48"/>
      <c r="T91" s="48" t="s">
        <v>382</v>
      </c>
      <c r="U91" s="52" t="s">
        <v>2730</v>
      </c>
      <c r="V91" s="48" t="s">
        <v>2312</v>
      </c>
      <c r="W91" t="str">
        <f>IF(COUNTIF('Survey 2 Papers'!$D:$D,D91)&gt;0,"Shared with S2","Unique")</f>
        <v>Unique</v>
      </c>
    </row>
    <row r="92" spans="1:23" x14ac:dyDescent="0.35">
      <c r="A92" s="47" t="s">
        <v>378</v>
      </c>
      <c r="B92" s="47" t="s">
        <v>2743</v>
      </c>
      <c r="C92" s="47">
        <v>2011</v>
      </c>
      <c r="D92" s="47" t="s">
        <v>2744</v>
      </c>
      <c r="E92" s="47" t="s">
        <v>2745</v>
      </c>
      <c r="F92" s="47" t="s">
        <v>2746</v>
      </c>
      <c r="G92" s="47" t="s">
        <v>178</v>
      </c>
      <c r="H92" s="47" t="s">
        <v>2747</v>
      </c>
      <c r="I92" s="47" t="s">
        <v>226</v>
      </c>
      <c r="J92" s="47" t="s">
        <v>273</v>
      </c>
      <c r="K92" s="47" t="s">
        <v>271</v>
      </c>
      <c r="L92" s="47" t="s">
        <v>238</v>
      </c>
      <c r="M92" s="47" t="s">
        <v>275</v>
      </c>
      <c r="N92" s="47" t="s">
        <v>235</v>
      </c>
      <c r="O92" s="47" t="s">
        <v>2748</v>
      </c>
      <c r="P92" s="47"/>
      <c r="Q92" s="47" t="s">
        <v>569</v>
      </c>
      <c r="R92" s="47"/>
      <c r="S92" s="48"/>
      <c r="T92" s="48" t="s">
        <v>382</v>
      </c>
      <c r="U92" s="52" t="s">
        <v>2749</v>
      </c>
      <c r="V92" s="48" t="s">
        <v>2312</v>
      </c>
      <c r="W92" t="str">
        <f>IF(COUNTIF('Survey 2 Papers'!$D:$D,D92)&gt;0,"Shared with S2","Unique")</f>
        <v>Unique</v>
      </c>
    </row>
    <row r="93" spans="1:23" x14ac:dyDescent="0.35">
      <c r="A93" s="47" t="s">
        <v>2750</v>
      </c>
      <c r="B93" s="47" t="s">
        <v>2751</v>
      </c>
      <c r="C93" s="47">
        <v>2021</v>
      </c>
      <c r="D93" s="47" t="s">
        <v>2752</v>
      </c>
      <c r="E93" s="47" t="s">
        <v>2753</v>
      </c>
      <c r="F93" s="47" t="s">
        <v>2754</v>
      </c>
      <c r="G93" s="47" t="s">
        <v>174</v>
      </c>
      <c r="H93" s="47" t="s">
        <v>2755</v>
      </c>
      <c r="I93" s="47" t="s">
        <v>225</v>
      </c>
      <c r="J93" s="47" t="s">
        <v>2756</v>
      </c>
      <c r="K93" s="47" t="s">
        <v>2756</v>
      </c>
      <c r="L93" s="47" t="s">
        <v>238</v>
      </c>
      <c r="M93" s="47" t="s">
        <v>272</v>
      </c>
      <c r="N93" s="47" t="s">
        <v>2757</v>
      </c>
      <c r="O93" s="47" t="s">
        <v>2758</v>
      </c>
      <c r="P93" s="47"/>
      <c r="Q93" s="47" t="s">
        <v>569</v>
      </c>
      <c r="R93" s="47"/>
      <c r="S93" s="48"/>
      <c r="T93" s="48" t="s">
        <v>2044</v>
      </c>
      <c r="U93" s="52" t="s">
        <v>2759</v>
      </c>
      <c r="V93" s="48" t="s">
        <v>2312</v>
      </c>
      <c r="W93" t="str">
        <f>IF(COUNTIF('Survey 2 Papers'!$D:$D,D93)&gt;0,"Shared with S2","Unique")</f>
        <v>Unique</v>
      </c>
    </row>
    <row r="94" spans="1:23" x14ac:dyDescent="0.35">
      <c r="A94" s="47" t="s">
        <v>2750</v>
      </c>
      <c r="B94" s="47" t="s">
        <v>2760</v>
      </c>
      <c r="C94" s="47">
        <v>2007</v>
      </c>
      <c r="D94" s="47" t="s">
        <v>2761</v>
      </c>
      <c r="E94" s="47" t="s">
        <v>2762</v>
      </c>
      <c r="F94" s="47" t="s">
        <v>2763</v>
      </c>
      <c r="G94" s="47" t="s">
        <v>174</v>
      </c>
      <c r="H94" s="47" t="s">
        <v>2764</v>
      </c>
      <c r="I94" s="47" t="s">
        <v>225</v>
      </c>
      <c r="J94" s="47" t="s">
        <v>2756</v>
      </c>
      <c r="K94" s="47" t="s">
        <v>2756</v>
      </c>
      <c r="L94" s="47" t="s">
        <v>238</v>
      </c>
      <c r="M94" s="47" t="s">
        <v>272</v>
      </c>
      <c r="N94" s="47" t="s">
        <v>2765</v>
      </c>
      <c r="O94" s="47" t="s">
        <v>2766</v>
      </c>
      <c r="P94" s="47"/>
      <c r="Q94" s="47" t="s">
        <v>569</v>
      </c>
      <c r="R94" s="47"/>
      <c r="S94" s="48"/>
      <c r="T94" s="48" t="s">
        <v>2044</v>
      </c>
      <c r="U94" s="52" t="s">
        <v>2767</v>
      </c>
      <c r="V94" s="48" t="s">
        <v>2312</v>
      </c>
      <c r="W94" t="str">
        <f>IF(COUNTIF('Survey 2 Papers'!$D:$D,D94)&gt;0,"Shared with S2","Unique")</f>
        <v>Unique</v>
      </c>
    </row>
    <row r="95" spans="1:23" x14ac:dyDescent="0.35">
      <c r="A95" s="47" t="s">
        <v>18</v>
      </c>
      <c r="B95" s="47" t="s">
        <v>2768</v>
      </c>
      <c r="C95" s="47">
        <v>2019</v>
      </c>
      <c r="D95" s="47" t="s">
        <v>2769</v>
      </c>
      <c r="E95" s="47" t="s">
        <v>2770</v>
      </c>
      <c r="F95" s="47" t="s">
        <v>2771</v>
      </c>
      <c r="G95" s="47" t="s">
        <v>2534</v>
      </c>
      <c r="H95" s="47" t="s">
        <v>2772</v>
      </c>
      <c r="I95" s="47" t="s">
        <v>226</v>
      </c>
      <c r="J95" s="47" t="s">
        <v>274</v>
      </c>
      <c r="K95" s="47" t="s">
        <v>271</v>
      </c>
      <c r="L95" s="47" t="s">
        <v>238</v>
      </c>
      <c r="M95" s="47" t="s">
        <v>285</v>
      </c>
      <c r="N95" s="47" t="s">
        <v>563</v>
      </c>
      <c r="O95" s="47" t="s">
        <v>2773</v>
      </c>
      <c r="P95" s="47"/>
      <c r="Q95" s="47" t="s">
        <v>569</v>
      </c>
      <c r="R95" s="47"/>
      <c r="S95" s="48"/>
      <c r="T95" s="48" t="s">
        <v>382</v>
      </c>
      <c r="U95" s="52" t="s">
        <v>2774</v>
      </c>
      <c r="V95" s="48" t="s">
        <v>2775</v>
      </c>
      <c r="W95" t="str">
        <f>IF(COUNTIF('Survey 2 Papers'!$D:$D,D95)&gt;0,"Shared with S2","Unique")</f>
        <v>Unique</v>
      </c>
    </row>
    <row r="96" spans="1:23" x14ac:dyDescent="0.35">
      <c r="A96" s="47" t="s">
        <v>19</v>
      </c>
      <c r="B96" s="47" t="s">
        <v>2776</v>
      </c>
      <c r="C96" s="47">
        <v>2016</v>
      </c>
      <c r="D96" s="47" t="s">
        <v>2777</v>
      </c>
      <c r="E96" s="47" t="s">
        <v>329</v>
      </c>
      <c r="F96" s="47" t="s">
        <v>2778</v>
      </c>
      <c r="G96" s="47" t="s">
        <v>291</v>
      </c>
      <c r="H96" s="47" t="s">
        <v>2779</v>
      </c>
      <c r="I96" s="47" t="s">
        <v>226</v>
      </c>
      <c r="J96" s="47" t="s">
        <v>273</v>
      </c>
      <c r="K96" s="47" t="s">
        <v>280</v>
      </c>
      <c r="L96" s="47" t="s">
        <v>238</v>
      </c>
      <c r="M96" s="47" t="s">
        <v>275</v>
      </c>
      <c r="N96" s="47" t="s">
        <v>265</v>
      </c>
      <c r="O96" s="47" t="s">
        <v>2780</v>
      </c>
      <c r="P96" s="47"/>
      <c r="Q96" s="47" t="s">
        <v>569</v>
      </c>
      <c r="R96" s="47"/>
      <c r="S96" s="48"/>
      <c r="T96" s="48" t="s">
        <v>2044</v>
      </c>
      <c r="U96" s="52" t="s">
        <v>2648</v>
      </c>
      <c r="V96" s="48" t="s">
        <v>2312</v>
      </c>
      <c r="W96" t="str">
        <f>IF(COUNTIF('Survey 2 Papers'!$D:$D,D96)&gt;0,"Shared with S2","Unique")</f>
        <v>Unique</v>
      </c>
    </row>
    <row r="97" spans="1:23" x14ac:dyDescent="0.35">
      <c r="A97" s="47" t="s">
        <v>1966</v>
      </c>
      <c r="B97" s="47" t="s">
        <v>2781</v>
      </c>
      <c r="C97" s="47">
        <v>2013</v>
      </c>
      <c r="D97" s="47" t="s">
        <v>2782</v>
      </c>
      <c r="E97" s="47" t="s">
        <v>2783</v>
      </c>
      <c r="F97" s="47" t="s">
        <v>2784</v>
      </c>
      <c r="G97" s="47" t="s">
        <v>2785</v>
      </c>
      <c r="H97" s="47" t="s">
        <v>2786</v>
      </c>
      <c r="I97" s="47" t="s">
        <v>226</v>
      </c>
      <c r="J97" s="47" t="s">
        <v>276</v>
      </c>
      <c r="K97" s="47" t="s">
        <v>280</v>
      </c>
      <c r="L97" s="47" t="s">
        <v>238</v>
      </c>
      <c r="M97" s="47" t="s">
        <v>275</v>
      </c>
      <c r="N97" s="47" t="s">
        <v>233</v>
      </c>
      <c r="O97" s="47" t="s">
        <v>2787</v>
      </c>
      <c r="P97" s="47"/>
      <c r="Q97" s="47" t="s">
        <v>569</v>
      </c>
      <c r="R97" s="47"/>
      <c r="S97" s="48"/>
      <c r="T97" s="48" t="s">
        <v>2044</v>
      </c>
      <c r="U97" s="52" t="s">
        <v>2788</v>
      </c>
      <c r="V97" s="48" t="s">
        <v>2312</v>
      </c>
      <c r="W97" t="str">
        <f>IF(COUNTIF('Survey 2 Papers'!$D:$D,D97)&gt;0,"Shared with S2","Unique")</f>
        <v>Unique</v>
      </c>
    </row>
    <row r="98" spans="1:23" x14ac:dyDescent="0.35">
      <c r="A98" s="47" t="s">
        <v>18</v>
      </c>
      <c r="B98" s="47" t="s">
        <v>2789</v>
      </c>
      <c r="C98" s="47">
        <v>2022</v>
      </c>
      <c r="D98" s="47" t="s">
        <v>2790</v>
      </c>
      <c r="E98" s="47" t="s">
        <v>2791</v>
      </c>
      <c r="F98" s="47" t="s">
        <v>2792</v>
      </c>
      <c r="G98" s="47" t="s">
        <v>174</v>
      </c>
      <c r="H98" s="47" t="s">
        <v>2793</v>
      </c>
      <c r="I98" s="47" t="s">
        <v>227</v>
      </c>
      <c r="J98" s="47" t="s">
        <v>273</v>
      </c>
      <c r="K98" s="47" t="s">
        <v>271</v>
      </c>
      <c r="L98" s="47" t="s">
        <v>238</v>
      </c>
      <c r="M98" s="47" t="s">
        <v>275</v>
      </c>
      <c r="N98" s="47" t="s">
        <v>2794</v>
      </c>
      <c r="O98" s="47" t="s">
        <v>2795</v>
      </c>
      <c r="P98" s="47"/>
      <c r="Q98" s="47" t="s">
        <v>569</v>
      </c>
      <c r="R98" s="47"/>
      <c r="S98" s="48"/>
      <c r="T98" s="48" t="s">
        <v>382</v>
      </c>
      <c r="U98" s="52" t="s">
        <v>2650</v>
      </c>
      <c r="V98" s="48" t="s">
        <v>2796</v>
      </c>
      <c r="W98" t="str">
        <f>IF(COUNTIF('Survey 2 Papers'!$D:$D,D98)&gt;0,"Shared with S2","Unique")</f>
        <v>Unique</v>
      </c>
    </row>
    <row r="99" spans="1:23" x14ac:dyDescent="0.35">
      <c r="A99" s="47" t="s">
        <v>18</v>
      </c>
      <c r="B99" s="47" t="s">
        <v>2797</v>
      </c>
      <c r="C99" s="47">
        <v>2025</v>
      </c>
      <c r="D99" s="47" t="s">
        <v>2798</v>
      </c>
      <c r="E99" s="47" t="s">
        <v>2799</v>
      </c>
      <c r="F99" s="47" t="s">
        <v>2800</v>
      </c>
      <c r="G99" s="47" t="s">
        <v>174</v>
      </c>
      <c r="H99" s="47" t="s">
        <v>2801</v>
      </c>
      <c r="I99" s="47" t="s">
        <v>226</v>
      </c>
      <c r="J99" s="47" t="s">
        <v>270</v>
      </c>
      <c r="K99" s="47" t="s">
        <v>271</v>
      </c>
      <c r="L99" s="47" t="s">
        <v>238</v>
      </c>
      <c r="M99" s="47" t="s">
        <v>285</v>
      </c>
      <c r="N99" s="47" t="s">
        <v>563</v>
      </c>
      <c r="O99" s="47" t="s">
        <v>2802</v>
      </c>
      <c r="P99" s="47"/>
      <c r="Q99" s="47" t="s">
        <v>569</v>
      </c>
      <c r="R99" s="47"/>
      <c r="S99" s="48"/>
      <c r="T99" s="48" t="s">
        <v>382</v>
      </c>
      <c r="U99" s="52" t="s">
        <v>2803</v>
      </c>
      <c r="V99" s="48" t="s">
        <v>2804</v>
      </c>
      <c r="W99" t="str">
        <f>IF(COUNTIF('Survey 2 Papers'!$D:$D,D99)&gt;0,"Shared with S2","Unique")</f>
        <v>Unique</v>
      </c>
    </row>
    <row r="100" spans="1:23" x14ac:dyDescent="0.35">
      <c r="A100" s="47" t="s">
        <v>2805</v>
      </c>
      <c r="B100" s="47" t="s">
        <v>2806</v>
      </c>
      <c r="C100" s="47">
        <v>2002</v>
      </c>
      <c r="D100" s="47" t="s">
        <v>2807</v>
      </c>
      <c r="E100" s="47" t="s">
        <v>2808</v>
      </c>
      <c r="F100" s="47" t="s">
        <v>2809</v>
      </c>
      <c r="G100" s="47" t="s">
        <v>175</v>
      </c>
      <c r="H100" s="47" t="s">
        <v>2810</v>
      </c>
      <c r="I100" s="47" t="s">
        <v>226</v>
      </c>
      <c r="J100" s="47" t="s">
        <v>270</v>
      </c>
      <c r="K100" s="47" t="s">
        <v>283</v>
      </c>
      <c r="L100" s="47" t="s">
        <v>238</v>
      </c>
      <c r="M100" s="47" t="s">
        <v>275</v>
      </c>
      <c r="N100" s="47" t="s">
        <v>231</v>
      </c>
      <c r="O100" s="47" t="s">
        <v>2811</v>
      </c>
      <c r="P100" s="47"/>
      <c r="Q100" s="47" t="s">
        <v>569</v>
      </c>
      <c r="R100" s="47"/>
      <c r="S100" s="48"/>
      <c r="T100" s="48" t="s">
        <v>382</v>
      </c>
      <c r="U100" s="52" t="s">
        <v>2175</v>
      </c>
      <c r="V100" s="48" t="s">
        <v>2312</v>
      </c>
      <c r="W100" t="str">
        <f>IF(COUNTIF('Survey 2 Papers'!$D:$D,D100)&gt;0,"Shared with S2","Unique")</f>
        <v>Unique</v>
      </c>
    </row>
    <row r="101" spans="1:23" x14ac:dyDescent="0.35">
      <c r="A101" s="47" t="s">
        <v>2805</v>
      </c>
      <c r="B101" s="47" t="s">
        <v>2812</v>
      </c>
      <c r="C101" s="47">
        <v>2020</v>
      </c>
      <c r="D101" s="47" t="s">
        <v>2813</v>
      </c>
      <c r="E101" s="47" t="s">
        <v>2814</v>
      </c>
      <c r="F101" s="47" t="s">
        <v>2815</v>
      </c>
      <c r="G101" s="47" t="s">
        <v>2816</v>
      </c>
      <c r="H101" s="47" t="s">
        <v>2817</v>
      </c>
      <c r="I101" s="47" t="s">
        <v>225</v>
      </c>
      <c r="J101" s="47" t="s">
        <v>273</v>
      </c>
      <c r="K101" s="47" t="s">
        <v>283</v>
      </c>
      <c r="L101" s="47" t="s">
        <v>238</v>
      </c>
      <c r="M101" s="47" t="s">
        <v>275</v>
      </c>
      <c r="N101" s="47" t="s">
        <v>240</v>
      </c>
      <c r="O101" s="47" t="s">
        <v>2818</v>
      </c>
      <c r="P101" s="47"/>
      <c r="Q101" s="47" t="s">
        <v>569</v>
      </c>
      <c r="R101" s="47"/>
      <c r="S101" s="48"/>
      <c r="T101" s="48" t="s">
        <v>382</v>
      </c>
      <c r="U101" s="52" t="s">
        <v>2819</v>
      </c>
      <c r="V101" s="48" t="s">
        <v>2253</v>
      </c>
      <c r="W101" t="str">
        <f>IF(COUNTIF('Survey 2 Papers'!$D:$D,D101)&gt;0,"Shared with S2","Unique")</f>
        <v>Unique</v>
      </c>
    </row>
    <row r="102" spans="1:23" x14ac:dyDescent="0.35">
      <c r="A102" s="47" t="s">
        <v>2805</v>
      </c>
      <c r="B102" s="47" t="s">
        <v>2820</v>
      </c>
      <c r="C102" s="47">
        <v>2019</v>
      </c>
      <c r="D102" s="47" t="s">
        <v>2821</v>
      </c>
      <c r="E102" s="47" t="s">
        <v>2822</v>
      </c>
      <c r="F102" s="47" t="s">
        <v>2823</v>
      </c>
      <c r="G102" s="47" t="s">
        <v>174</v>
      </c>
      <c r="H102" s="47" t="s">
        <v>2824</v>
      </c>
      <c r="I102" s="47" t="s">
        <v>226</v>
      </c>
      <c r="J102" s="47" t="s">
        <v>270</v>
      </c>
      <c r="K102" s="47" t="s">
        <v>283</v>
      </c>
      <c r="L102" s="47" t="s">
        <v>238</v>
      </c>
      <c r="M102" s="47" t="s">
        <v>275</v>
      </c>
      <c r="N102" s="47" t="s">
        <v>563</v>
      </c>
      <c r="O102" s="47" t="s">
        <v>2825</v>
      </c>
      <c r="P102" s="47"/>
      <c r="Q102" s="47" t="s">
        <v>569</v>
      </c>
      <c r="R102" s="47"/>
      <c r="S102" s="48"/>
      <c r="T102" s="48" t="s">
        <v>382</v>
      </c>
      <c r="U102" s="52" t="s">
        <v>2175</v>
      </c>
      <c r="V102" s="48" t="s">
        <v>2312</v>
      </c>
      <c r="W102" t="str">
        <f>IF(COUNTIF('Survey 2 Papers'!$D:$D,D102)&gt;0,"Shared with S2","Unique")</f>
        <v>Unique</v>
      </c>
    </row>
    <row r="103" spans="1:23" x14ac:dyDescent="0.35">
      <c r="A103" s="47" t="s">
        <v>2826</v>
      </c>
      <c r="B103" s="47" t="s">
        <v>2827</v>
      </c>
      <c r="C103" s="47">
        <v>2014</v>
      </c>
      <c r="D103" s="47" t="s">
        <v>2828</v>
      </c>
      <c r="E103" s="47" t="s">
        <v>2829</v>
      </c>
      <c r="F103" s="47" t="s">
        <v>2830</v>
      </c>
      <c r="G103" s="47" t="s">
        <v>174</v>
      </c>
      <c r="H103" s="47" t="s">
        <v>2831</v>
      </c>
      <c r="I103" s="47" t="s">
        <v>225</v>
      </c>
      <c r="J103" s="47" t="s">
        <v>273</v>
      </c>
      <c r="K103" s="47" t="s">
        <v>271</v>
      </c>
      <c r="L103" s="47" t="s">
        <v>238</v>
      </c>
      <c r="M103" s="47" t="s">
        <v>272</v>
      </c>
      <c r="N103" s="47" t="s">
        <v>235</v>
      </c>
      <c r="O103" s="47" t="s">
        <v>2832</v>
      </c>
      <c r="P103" s="47"/>
      <c r="Q103" s="47" t="s">
        <v>569</v>
      </c>
      <c r="R103" s="47"/>
      <c r="S103" s="48"/>
      <c r="T103" s="48" t="s">
        <v>382</v>
      </c>
      <c r="U103" s="52" t="s">
        <v>2833</v>
      </c>
      <c r="V103" s="48" t="s">
        <v>2312</v>
      </c>
      <c r="W103" t="str">
        <f>IF(COUNTIF('Survey 2 Papers'!$D:$D,D103)&gt;0,"Shared with S2","Unique")</f>
        <v>Unique</v>
      </c>
    </row>
    <row r="104" spans="1:23" x14ac:dyDescent="0.35">
      <c r="A104" s="47" t="s">
        <v>2826</v>
      </c>
      <c r="B104" s="47" t="s">
        <v>2834</v>
      </c>
      <c r="C104" s="47">
        <v>2016</v>
      </c>
      <c r="D104" s="47" t="s">
        <v>2835</v>
      </c>
      <c r="E104" s="47" t="s">
        <v>2836</v>
      </c>
      <c r="F104" s="47" t="s">
        <v>2837</v>
      </c>
      <c r="G104" s="47" t="s">
        <v>174</v>
      </c>
      <c r="H104" s="47" t="s">
        <v>2838</v>
      </c>
      <c r="I104" s="47" t="s">
        <v>226</v>
      </c>
      <c r="J104" s="47" t="s">
        <v>273</v>
      </c>
      <c r="K104" s="47" t="s">
        <v>271</v>
      </c>
      <c r="L104" s="47" t="s">
        <v>238</v>
      </c>
      <c r="M104" s="47" t="s">
        <v>272</v>
      </c>
      <c r="N104" s="47" t="s">
        <v>240</v>
      </c>
      <c r="O104" s="47" t="s">
        <v>2839</v>
      </c>
      <c r="P104" s="47"/>
      <c r="Q104" s="47" t="s">
        <v>569</v>
      </c>
      <c r="R104" s="47"/>
      <c r="S104" s="48"/>
      <c r="T104" s="48" t="s">
        <v>382</v>
      </c>
      <c r="U104" s="52" t="s">
        <v>2669</v>
      </c>
      <c r="V104" s="48" t="s">
        <v>2312</v>
      </c>
      <c r="W104" t="str">
        <f>IF(COUNTIF('Survey 2 Papers'!$D:$D,D104)&gt;0,"Shared with S2","Unique")</f>
        <v>Unique</v>
      </c>
    </row>
    <row r="105" spans="1:23" x14ac:dyDescent="0.35">
      <c r="A105" s="47" t="s">
        <v>2826</v>
      </c>
      <c r="B105" s="47" t="s">
        <v>2840</v>
      </c>
      <c r="C105" s="47">
        <v>2021</v>
      </c>
      <c r="D105" s="47" t="s">
        <v>2841</v>
      </c>
      <c r="E105" s="47" t="s">
        <v>2842</v>
      </c>
      <c r="F105" s="47" t="s">
        <v>2843</v>
      </c>
      <c r="G105" s="47" t="s">
        <v>2844</v>
      </c>
      <c r="H105" s="47" t="s">
        <v>2845</v>
      </c>
      <c r="I105" s="47" t="s">
        <v>225</v>
      </c>
      <c r="J105" s="47" t="s">
        <v>273</v>
      </c>
      <c r="K105" s="47" t="s">
        <v>271</v>
      </c>
      <c r="L105" s="47" t="s">
        <v>238</v>
      </c>
      <c r="M105" s="47" t="s">
        <v>275</v>
      </c>
      <c r="N105" s="47" t="s">
        <v>233</v>
      </c>
      <c r="O105" s="47" t="s">
        <v>2846</v>
      </c>
      <c r="P105" s="47"/>
      <c r="Q105" s="47" t="s">
        <v>569</v>
      </c>
      <c r="R105" s="47"/>
      <c r="S105" s="48"/>
      <c r="T105" s="48" t="s">
        <v>382</v>
      </c>
      <c r="U105" s="52" t="s">
        <v>2847</v>
      </c>
      <c r="V105" s="48" t="s">
        <v>2312</v>
      </c>
      <c r="W105" t="str">
        <f>IF(COUNTIF('Survey 2 Papers'!$D:$D,D105)&gt;0,"Shared with S2","Unique")</f>
        <v>Unique</v>
      </c>
    </row>
    <row r="106" spans="1:23" x14ac:dyDescent="0.35">
      <c r="A106" s="47" t="s">
        <v>2826</v>
      </c>
      <c r="B106" s="47" t="s">
        <v>2848</v>
      </c>
      <c r="C106" s="47">
        <v>2021</v>
      </c>
      <c r="D106" s="47" t="s">
        <v>2849</v>
      </c>
      <c r="E106" s="47" t="s">
        <v>2850</v>
      </c>
      <c r="F106" s="47" t="s">
        <v>2851</v>
      </c>
      <c r="G106" s="47" t="s">
        <v>721</v>
      </c>
      <c r="H106" s="47" t="s">
        <v>2852</v>
      </c>
      <c r="I106" s="47" t="s">
        <v>226</v>
      </c>
      <c r="J106" s="47" t="s">
        <v>270</v>
      </c>
      <c r="K106" s="47" t="s">
        <v>271</v>
      </c>
      <c r="L106" s="47" t="s">
        <v>238</v>
      </c>
      <c r="M106" s="47" t="s">
        <v>285</v>
      </c>
      <c r="N106" s="47" t="s">
        <v>235</v>
      </c>
      <c r="O106" s="47" t="s">
        <v>2853</v>
      </c>
      <c r="P106" s="47"/>
      <c r="Q106" s="47" t="s">
        <v>569</v>
      </c>
      <c r="R106" s="47"/>
      <c r="S106" s="48"/>
      <c r="T106" s="48" t="s">
        <v>382</v>
      </c>
      <c r="U106" s="52" t="s">
        <v>2669</v>
      </c>
      <c r="V106" s="48" t="s">
        <v>2312</v>
      </c>
      <c r="W106" t="str">
        <f>IF(COUNTIF('Survey 2 Papers'!$D:$D,D106)&gt;0,"Shared with S2","Unique")</f>
        <v>Unique</v>
      </c>
    </row>
    <row r="107" spans="1:23" x14ac:dyDescent="0.35">
      <c r="A107" s="47" t="s">
        <v>2826</v>
      </c>
      <c r="B107" s="47" t="s">
        <v>2854</v>
      </c>
      <c r="C107" s="47">
        <v>2021</v>
      </c>
      <c r="D107" s="47" t="s">
        <v>2855</v>
      </c>
      <c r="E107" s="47" t="s">
        <v>2856</v>
      </c>
      <c r="F107" s="47" t="s">
        <v>2857</v>
      </c>
      <c r="G107" s="47" t="s">
        <v>2858</v>
      </c>
      <c r="H107" s="47" t="s">
        <v>2859</v>
      </c>
      <c r="I107" s="47" t="s">
        <v>227</v>
      </c>
      <c r="J107" s="47" t="s">
        <v>273</v>
      </c>
      <c r="K107" s="47" t="s">
        <v>271</v>
      </c>
      <c r="L107" s="47" t="s">
        <v>238</v>
      </c>
      <c r="M107" s="47" t="s">
        <v>275</v>
      </c>
      <c r="N107" s="47" t="s">
        <v>563</v>
      </c>
      <c r="O107" s="47" t="s">
        <v>2860</v>
      </c>
      <c r="P107" s="47"/>
      <c r="Q107" s="47" t="s">
        <v>569</v>
      </c>
      <c r="R107" s="47"/>
      <c r="S107" s="48"/>
      <c r="T107" s="48" t="s">
        <v>382</v>
      </c>
      <c r="U107" s="52" t="s">
        <v>2861</v>
      </c>
      <c r="V107" s="48" t="s">
        <v>2312</v>
      </c>
      <c r="W107" t="str">
        <f>IF(COUNTIF('Survey 2 Papers'!$D:$D,D107)&gt;0,"Shared with S2","Unique")</f>
        <v>Unique</v>
      </c>
    </row>
    <row r="108" spans="1:23" x14ac:dyDescent="0.35">
      <c r="A108" s="47" t="s">
        <v>378</v>
      </c>
      <c r="B108" s="47" t="s">
        <v>2862</v>
      </c>
      <c r="C108" s="47">
        <v>2021</v>
      </c>
      <c r="D108" s="47" t="s">
        <v>2863</v>
      </c>
      <c r="E108" s="47" t="s">
        <v>2864</v>
      </c>
      <c r="F108" s="47" t="s">
        <v>2865</v>
      </c>
      <c r="G108" s="47" t="s">
        <v>174</v>
      </c>
      <c r="H108" s="47" t="s">
        <v>2866</v>
      </c>
      <c r="I108" s="47" t="s">
        <v>225</v>
      </c>
      <c r="J108" s="47" t="s">
        <v>273</v>
      </c>
      <c r="K108" s="47" t="s">
        <v>271</v>
      </c>
      <c r="L108" s="47" t="s">
        <v>238</v>
      </c>
      <c r="M108" s="47" t="s">
        <v>285</v>
      </c>
      <c r="N108" s="47" t="s">
        <v>2867</v>
      </c>
      <c r="O108" s="47" t="s">
        <v>2868</v>
      </c>
      <c r="P108" s="47"/>
      <c r="Q108" s="47" t="s">
        <v>569</v>
      </c>
      <c r="R108" s="47"/>
      <c r="S108" s="48"/>
      <c r="T108" s="48" t="s">
        <v>382</v>
      </c>
      <c r="U108" s="52" t="s">
        <v>2869</v>
      </c>
      <c r="V108" s="48" t="s">
        <v>2253</v>
      </c>
      <c r="W108" t="str">
        <f>IF(COUNTIF('Survey 2 Papers'!$D:$D,D108)&gt;0,"Shared with S2","Unique")</f>
        <v>Unique</v>
      </c>
    </row>
    <row r="109" spans="1:23" x14ac:dyDescent="0.35">
      <c r="A109" s="47" t="s">
        <v>378</v>
      </c>
      <c r="B109" s="47" t="s">
        <v>2870</v>
      </c>
      <c r="C109" s="47">
        <v>2020</v>
      </c>
      <c r="D109" s="47" t="s">
        <v>2871</v>
      </c>
      <c r="E109" s="47" t="s">
        <v>2872</v>
      </c>
      <c r="F109" s="47" t="s">
        <v>2873</v>
      </c>
      <c r="G109" s="47" t="s">
        <v>2874</v>
      </c>
      <c r="H109" s="47" t="s">
        <v>2875</v>
      </c>
      <c r="I109" s="47" t="s">
        <v>226</v>
      </c>
      <c r="J109" s="47" t="s">
        <v>1503</v>
      </c>
      <c r="K109" s="47" t="s">
        <v>271</v>
      </c>
      <c r="L109" s="47" t="s">
        <v>238</v>
      </c>
      <c r="M109" s="47" t="s">
        <v>275</v>
      </c>
      <c r="N109" s="47" t="s">
        <v>233</v>
      </c>
      <c r="O109" s="47" t="s">
        <v>2876</v>
      </c>
      <c r="P109" s="47"/>
      <c r="Q109" s="47" t="s">
        <v>569</v>
      </c>
      <c r="R109" s="47"/>
      <c r="S109" s="48"/>
      <c r="T109" s="48" t="s">
        <v>382</v>
      </c>
      <c r="U109" s="52" t="s">
        <v>2181</v>
      </c>
      <c r="V109" s="48" t="s">
        <v>2312</v>
      </c>
      <c r="W109" t="str">
        <f>IF(COUNTIF('Survey 2 Papers'!$D:$D,D109)&gt;0,"Shared with S2","Unique")</f>
        <v>Unique</v>
      </c>
    </row>
    <row r="110" spans="1:23" x14ac:dyDescent="0.35">
      <c r="A110" s="47" t="s">
        <v>2381</v>
      </c>
      <c r="B110" s="47" t="s">
        <v>2877</v>
      </c>
      <c r="C110" s="47">
        <v>2021</v>
      </c>
      <c r="D110" s="47" t="s">
        <v>2878</v>
      </c>
      <c r="E110" s="47" t="s">
        <v>2879</v>
      </c>
      <c r="F110" s="47" t="s">
        <v>2880</v>
      </c>
      <c r="G110" s="47" t="s">
        <v>2881</v>
      </c>
      <c r="H110" s="47" t="s">
        <v>2882</v>
      </c>
      <c r="I110" s="47" t="s">
        <v>226</v>
      </c>
      <c r="J110" s="47" t="s">
        <v>1503</v>
      </c>
      <c r="K110" s="47" t="s">
        <v>271</v>
      </c>
      <c r="L110" s="47" t="s">
        <v>238</v>
      </c>
      <c r="M110" s="47" t="s">
        <v>275</v>
      </c>
      <c r="N110" s="47" t="s">
        <v>2883</v>
      </c>
      <c r="O110" s="47" t="s">
        <v>2884</v>
      </c>
      <c r="P110" s="47"/>
      <c r="Q110" s="47" t="s">
        <v>569</v>
      </c>
      <c r="R110" s="47"/>
      <c r="S110" s="48"/>
      <c r="T110" s="48" t="s">
        <v>382</v>
      </c>
      <c r="U110" s="52" t="s">
        <v>2389</v>
      </c>
      <c r="V110" s="48" t="s">
        <v>2253</v>
      </c>
      <c r="W110" t="str">
        <f>IF(COUNTIF('Survey 2 Papers'!$D:$D,D110)&gt;0,"Shared with S2","Unique")</f>
        <v>Unique</v>
      </c>
    </row>
    <row r="111" spans="1:23" x14ac:dyDescent="0.35">
      <c r="A111" s="47" t="s">
        <v>2381</v>
      </c>
      <c r="B111" s="47" t="s">
        <v>2885</v>
      </c>
      <c r="C111" s="47">
        <v>2022</v>
      </c>
      <c r="D111" s="47" t="s">
        <v>2886</v>
      </c>
      <c r="E111" s="47" t="s">
        <v>2887</v>
      </c>
      <c r="F111" s="47" t="s">
        <v>2888</v>
      </c>
      <c r="G111" s="47" t="s">
        <v>174</v>
      </c>
      <c r="H111" s="47" t="s">
        <v>2889</v>
      </c>
      <c r="I111" s="47" t="s">
        <v>226</v>
      </c>
      <c r="J111" s="47" t="s">
        <v>1503</v>
      </c>
      <c r="K111" s="47" t="s">
        <v>271</v>
      </c>
      <c r="L111" s="47" t="s">
        <v>238</v>
      </c>
      <c r="M111" s="47" t="s">
        <v>275</v>
      </c>
      <c r="N111" s="47" t="s">
        <v>2890</v>
      </c>
      <c r="O111" s="47" t="s">
        <v>2891</v>
      </c>
      <c r="P111" s="47"/>
      <c r="Q111" s="47" t="s">
        <v>569</v>
      </c>
      <c r="R111" s="47"/>
      <c r="S111" s="48"/>
      <c r="T111" s="48" t="s">
        <v>382</v>
      </c>
      <c r="U111" s="52" t="s">
        <v>2389</v>
      </c>
      <c r="V111" s="48" t="s">
        <v>2253</v>
      </c>
      <c r="W111" t="str">
        <f>IF(COUNTIF('Survey 2 Papers'!$D:$D,D111)&gt;0,"Shared with S2","Unique")</f>
        <v>Unique</v>
      </c>
    </row>
    <row r="112" spans="1:23" x14ac:dyDescent="0.35">
      <c r="A112" s="47" t="s">
        <v>2381</v>
      </c>
      <c r="B112" s="47" t="s">
        <v>2892</v>
      </c>
      <c r="C112" s="47">
        <v>2017</v>
      </c>
      <c r="D112" s="47" t="s">
        <v>2893</v>
      </c>
      <c r="E112" s="47" t="s">
        <v>2894</v>
      </c>
      <c r="F112" s="47" t="s">
        <v>2895</v>
      </c>
      <c r="G112" s="47" t="s">
        <v>174</v>
      </c>
      <c r="H112" s="47" t="s">
        <v>2896</v>
      </c>
      <c r="I112" s="47" t="s">
        <v>226</v>
      </c>
      <c r="J112" s="47" t="s">
        <v>273</v>
      </c>
      <c r="K112" s="47" t="s">
        <v>271</v>
      </c>
      <c r="L112" s="47" t="s">
        <v>238</v>
      </c>
      <c r="M112" s="47" t="s">
        <v>272</v>
      </c>
      <c r="N112" s="47" t="s">
        <v>2890</v>
      </c>
      <c r="O112" s="47" t="s">
        <v>2897</v>
      </c>
      <c r="P112" s="47"/>
      <c r="Q112" s="47" t="s">
        <v>569</v>
      </c>
      <c r="R112" s="47"/>
      <c r="S112" s="48"/>
      <c r="T112" s="48" t="s">
        <v>382</v>
      </c>
      <c r="U112" s="52" t="s">
        <v>2389</v>
      </c>
      <c r="V112" s="48" t="s">
        <v>2253</v>
      </c>
      <c r="W112" t="str">
        <f>IF(COUNTIF('Survey 2 Papers'!$D:$D,D112)&gt;0,"Shared with S2","Unique")</f>
        <v>Unique</v>
      </c>
    </row>
    <row r="113" spans="1:23" x14ac:dyDescent="0.35">
      <c r="A113" s="58" t="s">
        <v>9</v>
      </c>
      <c r="B113" s="58" t="s">
        <v>3048</v>
      </c>
      <c r="C113" s="58">
        <v>2025</v>
      </c>
      <c r="D113" s="58" t="s">
        <v>3049</v>
      </c>
      <c r="E113" s="58" t="s">
        <v>3050</v>
      </c>
      <c r="F113" s="58" t="s">
        <v>3051</v>
      </c>
      <c r="G113" s="58" t="s">
        <v>174</v>
      </c>
      <c r="H113" s="58" t="s">
        <v>3052</v>
      </c>
      <c r="I113" s="58" t="s">
        <v>225</v>
      </c>
      <c r="J113" s="58" t="s">
        <v>274</v>
      </c>
      <c r="K113" s="58" t="s">
        <v>271</v>
      </c>
      <c r="L113" s="58" t="s">
        <v>1861</v>
      </c>
      <c r="M113" s="58" t="s">
        <v>285</v>
      </c>
      <c r="N113" s="58" t="s">
        <v>2289</v>
      </c>
      <c r="O113" s="58" t="s">
        <v>3053</v>
      </c>
      <c r="P113" s="58" t="s">
        <v>568</v>
      </c>
      <c r="Q113" s="58" t="s">
        <v>569</v>
      </c>
      <c r="R113" s="58" t="s">
        <v>3054</v>
      </c>
      <c r="S113" s="59" t="s">
        <v>568</v>
      </c>
      <c r="T113" s="59" t="s">
        <v>382</v>
      </c>
      <c r="U113" s="60">
        <v>3.1</v>
      </c>
      <c r="V113" s="59" t="s">
        <v>3055</v>
      </c>
      <c r="W113" s="59" t="str">
        <f>IF(COUNTIF('Survey 2 Papers'!$D:$D,D113)&gt;0,"Shared with S2","Unique")</f>
        <v>Unique</v>
      </c>
    </row>
    <row r="114" spans="1:23" x14ac:dyDescent="0.35">
      <c r="A114" s="58" t="s">
        <v>9</v>
      </c>
      <c r="B114" s="58" t="s">
        <v>3056</v>
      </c>
      <c r="C114" s="58">
        <v>2024</v>
      </c>
      <c r="D114" s="58" t="s">
        <v>3057</v>
      </c>
      <c r="E114" s="58" t="s">
        <v>3058</v>
      </c>
      <c r="F114" s="58" t="s">
        <v>3059</v>
      </c>
      <c r="G114" s="58" t="s">
        <v>174</v>
      </c>
      <c r="H114" s="58" t="s">
        <v>3052</v>
      </c>
      <c r="I114" s="58" t="s">
        <v>225</v>
      </c>
      <c r="J114" s="58" t="s">
        <v>274</v>
      </c>
      <c r="K114" s="58" t="s">
        <v>271</v>
      </c>
      <c r="L114" s="58" t="s">
        <v>1861</v>
      </c>
      <c r="M114" s="58" t="s">
        <v>285</v>
      </c>
      <c r="N114" s="58" t="s">
        <v>2281</v>
      </c>
      <c r="O114" s="58" t="s">
        <v>3060</v>
      </c>
      <c r="P114" s="58" t="s">
        <v>568</v>
      </c>
      <c r="Q114" s="58" t="s">
        <v>569</v>
      </c>
      <c r="R114" s="58"/>
      <c r="S114" s="59" t="s">
        <v>568</v>
      </c>
      <c r="T114" s="59" t="s">
        <v>382</v>
      </c>
      <c r="U114" s="60">
        <v>3.1</v>
      </c>
      <c r="V114" s="59" t="s">
        <v>3055</v>
      </c>
      <c r="W114" s="59" t="str">
        <f>IF(COUNTIF('Survey 2 Papers'!$D:$D,D114)&gt;0,"Shared with S2","Unique")</f>
        <v>Unique</v>
      </c>
    </row>
    <row r="115" spans="1:23" x14ac:dyDescent="0.35">
      <c r="A115" s="58" t="s">
        <v>9</v>
      </c>
      <c r="B115" s="58" t="s">
        <v>3061</v>
      </c>
      <c r="C115" s="58">
        <v>2023</v>
      </c>
      <c r="D115" s="58" t="s">
        <v>3062</v>
      </c>
      <c r="E115" s="58" t="s">
        <v>3063</v>
      </c>
      <c r="F115" s="58" t="s">
        <v>3064</v>
      </c>
      <c r="G115" s="58" t="s">
        <v>174</v>
      </c>
      <c r="H115" s="58" t="s">
        <v>3052</v>
      </c>
      <c r="I115" s="58" t="s">
        <v>225</v>
      </c>
      <c r="J115" s="58" t="s">
        <v>274</v>
      </c>
      <c r="K115" s="58" t="s">
        <v>271</v>
      </c>
      <c r="L115" s="58" t="s">
        <v>1861</v>
      </c>
      <c r="M115" s="58" t="s">
        <v>285</v>
      </c>
      <c r="N115" s="58" t="s">
        <v>2289</v>
      </c>
      <c r="O115" s="58" t="s">
        <v>3065</v>
      </c>
      <c r="P115" s="58" t="s">
        <v>3066</v>
      </c>
      <c r="Q115" s="58" t="s">
        <v>569</v>
      </c>
      <c r="R115" s="58" t="s">
        <v>3067</v>
      </c>
      <c r="S115" s="59" t="s">
        <v>568</v>
      </c>
      <c r="T115" s="59" t="s">
        <v>382</v>
      </c>
      <c r="U115" s="60">
        <v>3.1</v>
      </c>
      <c r="V115" s="59" t="s">
        <v>3055</v>
      </c>
      <c r="W115" s="59" t="str">
        <f>IF(COUNTIF('Survey 2 Papers'!$D:$D,D115)&gt;0,"Shared with S2","Unique")</f>
        <v>Unique</v>
      </c>
    </row>
    <row r="116" spans="1:23" x14ac:dyDescent="0.35">
      <c r="A116" s="58" t="s">
        <v>9</v>
      </c>
      <c r="B116" s="58" t="s">
        <v>3068</v>
      </c>
      <c r="C116" s="58">
        <v>2024</v>
      </c>
      <c r="D116" s="58" t="s">
        <v>3069</v>
      </c>
      <c r="E116" s="58" t="s">
        <v>3070</v>
      </c>
      <c r="F116" s="58" t="s">
        <v>3071</v>
      </c>
      <c r="G116" s="58" t="s">
        <v>174</v>
      </c>
      <c r="H116" s="58" t="s">
        <v>3052</v>
      </c>
      <c r="I116" s="58" t="s">
        <v>226</v>
      </c>
      <c r="J116" s="58" t="s">
        <v>274</v>
      </c>
      <c r="K116" s="58" t="s">
        <v>283</v>
      </c>
      <c r="L116" s="58" t="s">
        <v>1861</v>
      </c>
      <c r="M116" s="58" t="s">
        <v>275</v>
      </c>
      <c r="N116" s="58" t="s">
        <v>502</v>
      </c>
      <c r="O116" s="58" t="s">
        <v>3072</v>
      </c>
      <c r="P116" s="58" t="s">
        <v>3066</v>
      </c>
      <c r="Q116" s="58" t="s">
        <v>569</v>
      </c>
      <c r="R116" s="58" t="s">
        <v>3073</v>
      </c>
      <c r="S116" s="59" t="s">
        <v>568</v>
      </c>
      <c r="T116" s="59" t="s">
        <v>382</v>
      </c>
      <c r="U116" s="60">
        <v>3.1</v>
      </c>
      <c r="V116" s="59" t="s">
        <v>3055</v>
      </c>
      <c r="W116" s="59" t="str">
        <f>IF(COUNTIF('Survey 2 Papers'!$D:$D,D116)&gt;0,"Shared with S2","Unique")</f>
        <v>Unique</v>
      </c>
    </row>
    <row r="117" spans="1:23" x14ac:dyDescent="0.35">
      <c r="A117" s="58" t="s">
        <v>9</v>
      </c>
      <c r="B117" s="58" t="s">
        <v>3074</v>
      </c>
      <c r="C117" s="58">
        <v>2026</v>
      </c>
      <c r="D117" s="58" t="s">
        <v>3075</v>
      </c>
      <c r="E117" s="58" t="s">
        <v>3076</v>
      </c>
      <c r="F117" s="58" t="s">
        <v>3077</v>
      </c>
      <c r="G117" s="58" t="s">
        <v>174</v>
      </c>
      <c r="H117" s="58" t="s">
        <v>3052</v>
      </c>
      <c r="I117" s="58" t="s">
        <v>226</v>
      </c>
      <c r="J117" s="58" t="s">
        <v>270</v>
      </c>
      <c r="K117" s="58" t="s">
        <v>271</v>
      </c>
      <c r="L117" s="58" t="s">
        <v>1861</v>
      </c>
      <c r="M117" s="58" t="s">
        <v>285</v>
      </c>
      <c r="N117" s="58" t="s">
        <v>2281</v>
      </c>
      <c r="O117" s="58" t="s">
        <v>3078</v>
      </c>
      <c r="P117" s="58" t="s">
        <v>568</v>
      </c>
      <c r="Q117" s="58" t="s">
        <v>569</v>
      </c>
      <c r="R117" s="58"/>
      <c r="S117" s="59" t="s">
        <v>568</v>
      </c>
      <c r="T117" s="59" t="s">
        <v>382</v>
      </c>
      <c r="U117" s="60"/>
      <c r="V117" s="59" t="s">
        <v>3055</v>
      </c>
      <c r="W117" s="59" t="str">
        <f>IF(COUNTIF('Survey 2 Papers'!$D:$D,D117)&gt;0,"Shared with S2","Unique")</f>
        <v>Unique</v>
      </c>
    </row>
    <row r="118" spans="1:23" x14ac:dyDescent="0.35">
      <c r="A118" s="58" t="s">
        <v>9</v>
      </c>
      <c r="B118" s="58" t="s">
        <v>3079</v>
      </c>
      <c r="C118" s="58">
        <v>2022</v>
      </c>
      <c r="D118" s="58" t="s">
        <v>3080</v>
      </c>
      <c r="E118" s="58" t="s">
        <v>3081</v>
      </c>
      <c r="F118" s="58" t="s">
        <v>3082</v>
      </c>
      <c r="G118" s="58" t="s">
        <v>721</v>
      </c>
      <c r="H118" s="58" t="s">
        <v>3083</v>
      </c>
      <c r="I118" s="58" t="s">
        <v>226</v>
      </c>
      <c r="J118" s="58" t="s">
        <v>270</v>
      </c>
      <c r="K118" s="58" t="s">
        <v>271</v>
      </c>
      <c r="L118" s="58" t="s">
        <v>1861</v>
      </c>
      <c r="M118" s="58" t="s">
        <v>285</v>
      </c>
      <c r="N118" s="58" t="s">
        <v>2289</v>
      </c>
      <c r="O118" s="58" t="s">
        <v>3084</v>
      </c>
      <c r="P118" s="58" t="s">
        <v>3066</v>
      </c>
      <c r="Q118" s="58" t="s">
        <v>569</v>
      </c>
      <c r="R118" s="58"/>
      <c r="S118" s="59" t="s">
        <v>568</v>
      </c>
      <c r="T118" s="59" t="s">
        <v>382</v>
      </c>
      <c r="U118" s="60"/>
      <c r="V118" s="59" t="s">
        <v>3055</v>
      </c>
      <c r="W118" s="59" t="str">
        <f>IF(COUNTIF('Survey 2 Papers'!$D:$D,D118)&gt;0,"Shared with S2","Unique")</f>
        <v>Unique</v>
      </c>
    </row>
    <row r="119" spans="1:23" x14ac:dyDescent="0.35">
      <c r="A119" s="58" t="s">
        <v>9</v>
      </c>
      <c r="B119" s="58" t="s">
        <v>3085</v>
      </c>
      <c r="C119" s="58">
        <v>2025</v>
      </c>
      <c r="D119" s="58" t="s">
        <v>3086</v>
      </c>
      <c r="E119" s="58" t="s">
        <v>3087</v>
      </c>
      <c r="F119" s="58" t="s">
        <v>3088</v>
      </c>
      <c r="G119" s="58" t="s">
        <v>174</v>
      </c>
      <c r="H119" s="58" t="s">
        <v>3089</v>
      </c>
      <c r="I119" s="58" t="s">
        <v>226</v>
      </c>
      <c r="J119" s="58" t="s">
        <v>274</v>
      </c>
      <c r="K119" s="58" t="s">
        <v>271</v>
      </c>
      <c r="L119" s="58" t="s">
        <v>1861</v>
      </c>
      <c r="M119" s="58" t="s">
        <v>285</v>
      </c>
      <c r="N119" s="58" t="s">
        <v>563</v>
      </c>
      <c r="O119" s="58" t="s">
        <v>3090</v>
      </c>
      <c r="P119" s="58" t="s">
        <v>568</v>
      </c>
      <c r="Q119" s="58" t="s">
        <v>569</v>
      </c>
      <c r="R119" s="58"/>
      <c r="S119" s="59" t="s">
        <v>568</v>
      </c>
      <c r="T119" s="59" t="s">
        <v>382</v>
      </c>
      <c r="U119" s="60"/>
      <c r="V119" s="59" t="s">
        <v>3055</v>
      </c>
      <c r="W119" s="59" t="str">
        <f>IF(COUNTIF('Survey 2 Papers'!$D:$D,D119)&gt;0,"Shared with S2","Unique")</f>
        <v>Unique</v>
      </c>
    </row>
    <row r="120" spans="1:23" x14ac:dyDescent="0.35">
      <c r="A120" s="58" t="s">
        <v>9</v>
      </c>
      <c r="B120" s="58" t="s">
        <v>3091</v>
      </c>
      <c r="C120" s="58">
        <v>2025</v>
      </c>
      <c r="D120" s="58" t="s">
        <v>3092</v>
      </c>
      <c r="E120" s="58" t="s">
        <v>3093</v>
      </c>
      <c r="F120" s="58" t="s">
        <v>3094</v>
      </c>
      <c r="G120" s="58" t="s">
        <v>3095</v>
      </c>
      <c r="H120" s="58" t="s">
        <v>3096</v>
      </c>
      <c r="I120" s="58" t="s">
        <v>226</v>
      </c>
      <c r="J120" s="58" t="s">
        <v>278</v>
      </c>
      <c r="K120" s="58" t="s">
        <v>271</v>
      </c>
      <c r="L120" s="58" t="s">
        <v>1861</v>
      </c>
      <c r="M120" s="58" t="s">
        <v>285</v>
      </c>
      <c r="N120" s="58" t="s">
        <v>563</v>
      </c>
      <c r="O120" s="58" t="s">
        <v>3097</v>
      </c>
      <c r="P120" s="58" t="s">
        <v>568</v>
      </c>
      <c r="Q120" s="58" t="s">
        <v>569</v>
      </c>
      <c r="R120" s="58"/>
      <c r="S120" s="59" t="s">
        <v>568</v>
      </c>
      <c r="T120" s="59" t="s">
        <v>382</v>
      </c>
      <c r="U120" s="60"/>
      <c r="V120" s="59" t="s">
        <v>3055</v>
      </c>
      <c r="W120" s="59" t="str">
        <f>IF(COUNTIF('Survey 2 Papers'!$D:$D,D120)&gt;0,"Shared with S2","Unique")</f>
        <v>Unique</v>
      </c>
    </row>
    <row r="121" spans="1:23" x14ac:dyDescent="0.35">
      <c r="A121" s="58" t="s">
        <v>9</v>
      </c>
      <c r="B121" s="58" t="s">
        <v>3098</v>
      </c>
      <c r="C121" s="58">
        <v>2025</v>
      </c>
      <c r="D121" s="58" t="s">
        <v>3099</v>
      </c>
      <c r="E121" s="58" t="s">
        <v>3100</v>
      </c>
      <c r="F121" s="58" t="s">
        <v>3101</v>
      </c>
      <c r="G121" s="58" t="s">
        <v>174</v>
      </c>
      <c r="H121" s="58" t="s">
        <v>3102</v>
      </c>
      <c r="I121" s="58" t="s">
        <v>226</v>
      </c>
      <c r="J121" s="58" t="s">
        <v>270</v>
      </c>
      <c r="K121" s="58" t="s">
        <v>271</v>
      </c>
      <c r="L121" s="58" t="s">
        <v>1861</v>
      </c>
      <c r="M121" s="58" t="s">
        <v>285</v>
      </c>
      <c r="N121" s="58" t="s">
        <v>2289</v>
      </c>
      <c r="O121" s="58" t="s">
        <v>3103</v>
      </c>
      <c r="P121" s="58" t="s">
        <v>3066</v>
      </c>
      <c r="Q121" s="58" t="s">
        <v>569</v>
      </c>
      <c r="R121" s="58" t="s">
        <v>3104</v>
      </c>
      <c r="S121" s="59" t="s">
        <v>568</v>
      </c>
      <c r="T121" s="59" t="s">
        <v>382</v>
      </c>
      <c r="U121" s="60"/>
      <c r="V121" s="59" t="s">
        <v>3055</v>
      </c>
      <c r="W121" s="59" t="str">
        <f>IF(COUNTIF('Survey 2 Papers'!$D:$D,D121)&gt;0,"Shared with S2","Unique")</f>
        <v>Unique</v>
      </c>
    </row>
    <row r="122" spans="1:23" x14ac:dyDescent="0.35">
      <c r="A122" s="58" t="s">
        <v>9</v>
      </c>
      <c r="B122" s="58" t="s">
        <v>785</v>
      </c>
      <c r="C122" s="58">
        <v>2025</v>
      </c>
      <c r="D122" s="58" t="s">
        <v>3105</v>
      </c>
      <c r="E122" s="58" t="s">
        <v>3106</v>
      </c>
      <c r="F122" s="58" t="s">
        <v>3107</v>
      </c>
      <c r="G122" s="58" t="s">
        <v>183</v>
      </c>
      <c r="H122" s="58" t="s">
        <v>3108</v>
      </c>
      <c r="I122" s="58" t="s">
        <v>227</v>
      </c>
      <c r="J122" s="58" t="s">
        <v>270</v>
      </c>
      <c r="K122" s="58" t="s">
        <v>271</v>
      </c>
      <c r="L122" s="58" t="s">
        <v>1861</v>
      </c>
      <c r="M122" s="58" t="s">
        <v>275</v>
      </c>
      <c r="N122" s="58" t="s">
        <v>2289</v>
      </c>
      <c r="O122" s="58" t="s">
        <v>3109</v>
      </c>
      <c r="P122" s="58" t="s">
        <v>568</v>
      </c>
      <c r="Q122" s="58" t="s">
        <v>569</v>
      </c>
      <c r="R122" s="58"/>
      <c r="S122" s="59" t="s">
        <v>568</v>
      </c>
      <c r="T122" s="59" t="s">
        <v>382</v>
      </c>
      <c r="U122" s="60"/>
      <c r="V122" s="59" t="s">
        <v>3055</v>
      </c>
      <c r="W122" s="59" t="str">
        <f>IF(COUNTIF('Survey 2 Papers'!$D:$D,D122)&gt;0,"Shared with S2","Unique")</f>
        <v>Unique</v>
      </c>
    </row>
    <row r="123" spans="1:23" x14ac:dyDescent="0.35">
      <c r="A123" s="58" t="s">
        <v>9</v>
      </c>
      <c r="B123" s="58" t="s">
        <v>3110</v>
      </c>
      <c r="C123" s="58">
        <v>2026</v>
      </c>
      <c r="D123" s="58" t="s">
        <v>3111</v>
      </c>
      <c r="E123" s="58" t="s">
        <v>3112</v>
      </c>
      <c r="F123" s="58" t="s">
        <v>3113</v>
      </c>
      <c r="G123" s="58" t="s">
        <v>183</v>
      </c>
      <c r="H123" s="58" t="s">
        <v>3114</v>
      </c>
      <c r="I123" s="58" t="s">
        <v>227</v>
      </c>
      <c r="J123" s="58" t="s">
        <v>274</v>
      </c>
      <c r="K123" s="58" t="s">
        <v>271</v>
      </c>
      <c r="L123" s="58" t="s">
        <v>1861</v>
      </c>
      <c r="M123" s="58" t="s">
        <v>275</v>
      </c>
      <c r="N123" s="58" t="s">
        <v>542</v>
      </c>
      <c r="O123" s="58" t="s">
        <v>3115</v>
      </c>
      <c r="P123" s="58" t="s">
        <v>568</v>
      </c>
      <c r="Q123" s="58" t="s">
        <v>569</v>
      </c>
      <c r="R123" s="58"/>
      <c r="S123" s="59" t="s">
        <v>568</v>
      </c>
      <c r="T123" s="59" t="s">
        <v>382</v>
      </c>
      <c r="U123" s="60"/>
      <c r="V123" s="59" t="s">
        <v>3055</v>
      </c>
      <c r="W123" s="59" t="str">
        <f>IF(COUNTIF('Survey 2 Papers'!$D:$D,D123)&gt;0,"Shared with S2","Unique")</f>
        <v>Unique</v>
      </c>
    </row>
    <row r="124" spans="1:23" x14ac:dyDescent="0.35">
      <c r="A124" s="58" t="s">
        <v>404</v>
      </c>
      <c r="B124" s="58" t="s">
        <v>3116</v>
      </c>
      <c r="C124" s="58">
        <v>2025</v>
      </c>
      <c r="D124" s="58" t="s">
        <v>3117</v>
      </c>
      <c r="E124" s="58" t="s">
        <v>3118</v>
      </c>
      <c r="F124" s="58" t="s">
        <v>3119</v>
      </c>
      <c r="G124" s="58" t="s">
        <v>711</v>
      </c>
      <c r="H124" s="58" t="s">
        <v>3120</v>
      </c>
      <c r="I124" s="58" t="s">
        <v>226</v>
      </c>
      <c r="J124" s="58" t="s">
        <v>270</v>
      </c>
      <c r="K124" s="58" t="s">
        <v>271</v>
      </c>
      <c r="L124" s="58" t="s">
        <v>1861</v>
      </c>
      <c r="M124" s="58" t="s">
        <v>285</v>
      </c>
      <c r="N124" s="58" t="s">
        <v>2267</v>
      </c>
      <c r="O124" s="58" t="s">
        <v>3121</v>
      </c>
      <c r="P124" s="58" t="s">
        <v>2043</v>
      </c>
      <c r="Q124" s="58" t="s">
        <v>569</v>
      </c>
      <c r="R124" s="58"/>
      <c r="S124" s="59" t="s">
        <v>571</v>
      </c>
      <c r="T124" s="59" t="s">
        <v>382</v>
      </c>
      <c r="U124" s="60"/>
      <c r="V124" s="59" t="s">
        <v>3055</v>
      </c>
      <c r="W124" s="59" t="str">
        <f>IF(COUNTIF('Survey 2 Papers'!$D:$D,D124)&gt;0,"Shared with S2","Unique")</f>
        <v>Unique</v>
      </c>
    </row>
    <row r="125" spans="1:23" x14ac:dyDescent="0.35">
      <c r="A125" s="58" t="s">
        <v>404</v>
      </c>
      <c r="B125" s="58" t="s">
        <v>3122</v>
      </c>
      <c r="C125" s="58">
        <v>2025</v>
      </c>
      <c r="D125" s="58" t="s">
        <v>3123</v>
      </c>
      <c r="E125" s="58" t="s">
        <v>3124</v>
      </c>
      <c r="F125" s="58" t="s">
        <v>3125</v>
      </c>
      <c r="G125" s="58" t="s">
        <v>183</v>
      </c>
      <c r="H125" s="58" t="s">
        <v>3126</v>
      </c>
      <c r="I125" s="58" t="s">
        <v>226</v>
      </c>
      <c r="J125" s="58" t="s">
        <v>276</v>
      </c>
      <c r="K125" s="58" t="s">
        <v>271</v>
      </c>
      <c r="L125" s="58" t="s">
        <v>1861</v>
      </c>
      <c r="M125" s="58" t="s">
        <v>285</v>
      </c>
      <c r="N125" s="58" t="s">
        <v>542</v>
      </c>
      <c r="O125" s="58" t="s">
        <v>3127</v>
      </c>
      <c r="P125" s="58" t="s">
        <v>571</v>
      </c>
      <c r="Q125" s="58" t="s">
        <v>569</v>
      </c>
      <c r="R125" s="58"/>
      <c r="S125" s="59" t="s">
        <v>571</v>
      </c>
      <c r="T125" s="59" t="s">
        <v>382</v>
      </c>
      <c r="U125" s="60"/>
      <c r="V125" s="59" t="s">
        <v>3055</v>
      </c>
      <c r="W125" s="59" t="str">
        <f>IF(COUNTIF('Survey 2 Papers'!$D:$D,D125)&gt;0,"Shared with S2","Unique")</f>
        <v>Unique</v>
      </c>
    </row>
    <row r="126" spans="1:23" x14ac:dyDescent="0.35">
      <c r="A126" s="58" t="s">
        <v>404</v>
      </c>
      <c r="B126" s="58" t="s">
        <v>3128</v>
      </c>
      <c r="C126" s="58">
        <v>2025</v>
      </c>
      <c r="D126" s="58" t="s">
        <v>3129</v>
      </c>
      <c r="E126" s="58" t="s">
        <v>3130</v>
      </c>
      <c r="F126" s="58" t="s">
        <v>3131</v>
      </c>
      <c r="G126" s="58" t="s">
        <v>183</v>
      </c>
      <c r="H126" s="58" t="s">
        <v>3132</v>
      </c>
      <c r="I126" s="58" t="s">
        <v>1434</v>
      </c>
      <c r="J126" s="58" t="s">
        <v>276</v>
      </c>
      <c r="K126" s="58" t="s">
        <v>271</v>
      </c>
      <c r="L126" s="58" t="s">
        <v>1861</v>
      </c>
      <c r="M126" s="58" t="s">
        <v>272</v>
      </c>
      <c r="N126" s="58" t="s">
        <v>490</v>
      </c>
      <c r="O126" s="58" t="s">
        <v>3133</v>
      </c>
      <c r="P126" s="58" t="s">
        <v>571</v>
      </c>
      <c r="Q126" s="58" t="s">
        <v>569</v>
      </c>
      <c r="R126" s="58" t="s">
        <v>3134</v>
      </c>
      <c r="S126" s="59" t="s">
        <v>571</v>
      </c>
      <c r="T126" s="59" t="s">
        <v>2044</v>
      </c>
      <c r="U126" s="60"/>
      <c r="V126" s="59" t="s">
        <v>3055</v>
      </c>
      <c r="W126" s="59" t="str">
        <f>IF(COUNTIF('Survey 2 Papers'!$D:$D,D126)&gt;0,"Shared with S2","Unique")</f>
        <v>Unique</v>
      </c>
    </row>
    <row r="127" spans="1:23" x14ac:dyDescent="0.35">
      <c r="A127" s="58" t="s">
        <v>404</v>
      </c>
      <c r="B127" s="58" t="s">
        <v>3135</v>
      </c>
      <c r="C127" s="58">
        <v>2025</v>
      </c>
      <c r="D127" s="58" t="s">
        <v>3136</v>
      </c>
      <c r="E127" s="58" t="s">
        <v>3137</v>
      </c>
      <c r="F127" s="58" t="s">
        <v>3138</v>
      </c>
      <c r="G127" s="58" t="s">
        <v>549</v>
      </c>
      <c r="H127" s="58" t="s">
        <v>3139</v>
      </c>
      <c r="I127" s="58" t="s">
        <v>226</v>
      </c>
      <c r="J127" s="58" t="s">
        <v>270</v>
      </c>
      <c r="K127" s="58" t="s">
        <v>283</v>
      </c>
      <c r="L127" s="58" t="s">
        <v>1861</v>
      </c>
      <c r="M127" s="58" t="s">
        <v>275</v>
      </c>
      <c r="N127" s="58" t="s">
        <v>502</v>
      </c>
      <c r="O127" s="58" t="s">
        <v>3140</v>
      </c>
      <c r="P127" s="58" t="s">
        <v>3066</v>
      </c>
      <c r="Q127" s="58" t="s">
        <v>569</v>
      </c>
      <c r="R127" s="58"/>
      <c r="S127" s="59" t="s">
        <v>568</v>
      </c>
      <c r="T127" s="59" t="s">
        <v>382</v>
      </c>
      <c r="U127" s="60"/>
      <c r="V127" s="59" t="s">
        <v>3055</v>
      </c>
      <c r="W127" s="59" t="str">
        <f>IF(COUNTIF('Survey 2 Papers'!$D:$D,D127)&gt;0,"Shared with S2","Unique")</f>
        <v>Unique</v>
      </c>
    </row>
    <row r="128" spans="1:23" x14ac:dyDescent="0.35">
      <c r="A128" s="58" t="s">
        <v>332</v>
      </c>
      <c r="B128" s="58" t="s">
        <v>3141</v>
      </c>
      <c r="C128" s="58">
        <v>2020</v>
      </c>
      <c r="D128" s="58" t="s">
        <v>3142</v>
      </c>
      <c r="E128" s="58" t="s">
        <v>3143</v>
      </c>
      <c r="F128" s="58" t="s">
        <v>3144</v>
      </c>
      <c r="G128" s="58" t="s">
        <v>174</v>
      </c>
      <c r="H128" s="58" t="s">
        <v>3145</v>
      </c>
      <c r="I128" s="58" t="s">
        <v>226</v>
      </c>
      <c r="J128" s="58" t="s">
        <v>282</v>
      </c>
      <c r="K128" s="58" t="s">
        <v>283</v>
      </c>
      <c r="L128" s="58" t="s">
        <v>1939</v>
      </c>
      <c r="M128" s="58" t="s">
        <v>285</v>
      </c>
      <c r="N128" s="58" t="s">
        <v>496</v>
      </c>
      <c r="O128" s="58" t="s">
        <v>3146</v>
      </c>
      <c r="P128" s="58" t="s">
        <v>573</v>
      </c>
      <c r="Q128" s="58" t="s">
        <v>569</v>
      </c>
      <c r="R128" s="58" t="s">
        <v>3147</v>
      </c>
      <c r="S128" s="59" t="s">
        <v>573</v>
      </c>
      <c r="T128" s="59" t="s">
        <v>382</v>
      </c>
      <c r="U128" s="60"/>
      <c r="V128" s="59" t="s">
        <v>3055</v>
      </c>
      <c r="W128" s="59" t="str">
        <f>IF(COUNTIF('Survey 2 Papers'!$D:$D,D128)&gt;0,"Shared with S2","Unique")</f>
        <v>Unique</v>
      </c>
    </row>
    <row r="129" spans="1:23" x14ac:dyDescent="0.35">
      <c r="A129" s="58" t="s">
        <v>332</v>
      </c>
      <c r="B129" s="58" t="s">
        <v>3141</v>
      </c>
      <c r="C129" s="58">
        <v>2023</v>
      </c>
      <c r="D129" s="58" t="s">
        <v>3148</v>
      </c>
      <c r="E129" s="58" t="s">
        <v>3149</v>
      </c>
      <c r="F129" s="58" t="s">
        <v>3150</v>
      </c>
      <c r="G129" s="58" t="s">
        <v>174</v>
      </c>
      <c r="H129" s="58" t="s">
        <v>3151</v>
      </c>
      <c r="I129" s="58" t="s">
        <v>227</v>
      </c>
      <c r="J129" s="58" t="s">
        <v>282</v>
      </c>
      <c r="K129" s="58" t="s">
        <v>283</v>
      </c>
      <c r="L129" s="58" t="s">
        <v>1939</v>
      </c>
      <c r="M129" s="58" t="s">
        <v>285</v>
      </c>
      <c r="N129" s="58" t="s">
        <v>496</v>
      </c>
      <c r="O129" s="58" t="s">
        <v>3152</v>
      </c>
      <c r="P129" s="58" t="s">
        <v>573</v>
      </c>
      <c r="Q129" s="58" t="s">
        <v>569</v>
      </c>
      <c r="R129" s="58" t="s">
        <v>3147</v>
      </c>
      <c r="S129" s="59" t="s">
        <v>573</v>
      </c>
      <c r="T129" s="59" t="s">
        <v>382</v>
      </c>
      <c r="U129" s="60"/>
      <c r="V129" s="59" t="s">
        <v>3055</v>
      </c>
      <c r="W129" s="59" t="str">
        <f>IF(COUNTIF('Survey 2 Papers'!$D:$D,D129)&gt;0,"Shared with S2","Unique")</f>
        <v>Unique</v>
      </c>
    </row>
    <row r="130" spans="1:23" x14ac:dyDescent="0.35">
      <c r="A130" s="58" t="s">
        <v>332</v>
      </c>
      <c r="B130" s="58" t="s">
        <v>2424</v>
      </c>
      <c r="C130" s="58">
        <v>2025</v>
      </c>
      <c r="D130" s="58" t="s">
        <v>2425</v>
      </c>
      <c r="E130" s="58" t="s">
        <v>3153</v>
      </c>
      <c r="F130" s="58" t="s">
        <v>3154</v>
      </c>
      <c r="G130" s="58" t="s">
        <v>174</v>
      </c>
      <c r="H130" s="58" t="s">
        <v>3145</v>
      </c>
      <c r="I130" s="58" t="s">
        <v>226</v>
      </c>
      <c r="J130" s="58" t="s">
        <v>282</v>
      </c>
      <c r="K130" s="58" t="s">
        <v>283</v>
      </c>
      <c r="L130" s="58" t="s">
        <v>1939</v>
      </c>
      <c r="M130" s="58" t="s">
        <v>285</v>
      </c>
      <c r="N130" s="58" t="s">
        <v>234</v>
      </c>
      <c r="O130" s="58" t="s">
        <v>3155</v>
      </c>
      <c r="P130" s="58" t="s">
        <v>573</v>
      </c>
      <c r="Q130" s="58" t="s">
        <v>569</v>
      </c>
      <c r="R130" s="58" t="s">
        <v>3156</v>
      </c>
      <c r="S130" s="59" t="s">
        <v>573</v>
      </c>
      <c r="T130" s="59" t="s">
        <v>382</v>
      </c>
      <c r="U130" s="60"/>
      <c r="V130" s="59" t="s">
        <v>3055</v>
      </c>
      <c r="W130" s="59" t="str">
        <f>IF(COUNTIF('Survey 2 Papers'!$D:$D,D130)&gt;0,"Shared with S2","Unique")</f>
        <v>Shared with S2</v>
      </c>
    </row>
    <row r="131" spans="1:23" x14ac:dyDescent="0.35">
      <c r="A131" s="58" t="s">
        <v>511</v>
      </c>
      <c r="B131" s="58" t="s">
        <v>3157</v>
      </c>
      <c r="C131" s="58">
        <v>2020</v>
      </c>
      <c r="D131" s="58" t="s">
        <v>3158</v>
      </c>
      <c r="E131" s="58" t="s">
        <v>3159</v>
      </c>
      <c r="F131" s="58" t="s">
        <v>3160</v>
      </c>
      <c r="G131" s="58" t="s">
        <v>3161</v>
      </c>
      <c r="H131" s="58" t="s">
        <v>3162</v>
      </c>
      <c r="I131" s="58" t="s">
        <v>227</v>
      </c>
      <c r="J131" s="58" t="s">
        <v>281</v>
      </c>
      <c r="K131" s="58" t="s">
        <v>271</v>
      </c>
      <c r="L131" s="58" t="s">
        <v>1861</v>
      </c>
      <c r="M131" s="58" t="s">
        <v>275</v>
      </c>
      <c r="N131" s="58" t="s">
        <v>2358</v>
      </c>
      <c r="O131" s="58" t="s">
        <v>3163</v>
      </c>
      <c r="P131" s="58" t="s">
        <v>572</v>
      </c>
      <c r="Q131" s="58" t="s">
        <v>569</v>
      </c>
      <c r="R131" s="58"/>
      <c r="S131" s="59" t="s">
        <v>572</v>
      </c>
      <c r="T131" s="59" t="s">
        <v>2044</v>
      </c>
      <c r="U131" s="60"/>
      <c r="V131" s="59" t="s">
        <v>3055</v>
      </c>
      <c r="W131" s="59" t="str">
        <f>IF(COUNTIF('Survey 2 Papers'!$D:$D,D131)&gt;0,"Shared with S2","Unique")</f>
        <v>Unique</v>
      </c>
    </row>
    <row r="132" spans="1:23" x14ac:dyDescent="0.35">
      <c r="A132" s="58" t="s">
        <v>511</v>
      </c>
      <c r="B132" s="58" t="s">
        <v>785</v>
      </c>
      <c r="C132" s="58">
        <v>2025</v>
      </c>
      <c r="D132" s="58" t="s">
        <v>3164</v>
      </c>
      <c r="E132" s="58" t="s">
        <v>3165</v>
      </c>
      <c r="F132" s="58" t="s">
        <v>3166</v>
      </c>
      <c r="G132" s="58" t="s">
        <v>183</v>
      </c>
      <c r="H132" s="58" t="s">
        <v>3167</v>
      </c>
      <c r="I132" s="58" t="s">
        <v>227</v>
      </c>
      <c r="J132" s="58" t="s">
        <v>281</v>
      </c>
      <c r="K132" s="58" t="s">
        <v>271</v>
      </c>
      <c r="L132" s="58" t="s">
        <v>1861</v>
      </c>
      <c r="M132" s="58" t="s">
        <v>275</v>
      </c>
      <c r="N132" s="58" t="s">
        <v>233</v>
      </c>
      <c r="O132" s="58" t="s">
        <v>2105</v>
      </c>
      <c r="P132" s="58" t="s">
        <v>572</v>
      </c>
      <c r="Q132" s="58" t="s">
        <v>569</v>
      </c>
      <c r="R132" s="58"/>
      <c r="S132" s="59" t="s">
        <v>572</v>
      </c>
      <c r="T132" s="59" t="s">
        <v>2044</v>
      </c>
      <c r="U132" s="60"/>
      <c r="V132" s="59" t="s">
        <v>3055</v>
      </c>
      <c r="W132" s="59" t="str">
        <f>IF(COUNTIF('Survey 2 Papers'!$D:$D,D132)&gt;0,"Shared with S2","Unique")</f>
        <v>Unique</v>
      </c>
    </row>
    <row r="133" spans="1:23" x14ac:dyDescent="0.35">
      <c r="A133" s="58" t="s">
        <v>511</v>
      </c>
      <c r="B133" s="58" t="s">
        <v>785</v>
      </c>
      <c r="C133" s="58">
        <v>2025</v>
      </c>
      <c r="D133" s="58" t="s">
        <v>3168</v>
      </c>
      <c r="E133" s="58" t="s">
        <v>3169</v>
      </c>
      <c r="F133" s="58" t="s">
        <v>3170</v>
      </c>
      <c r="G133" s="58" t="s">
        <v>3171</v>
      </c>
      <c r="H133" s="58" t="s">
        <v>3172</v>
      </c>
      <c r="I133" s="58" t="s">
        <v>1434</v>
      </c>
      <c r="J133" s="58" t="s">
        <v>278</v>
      </c>
      <c r="K133" s="58" t="s">
        <v>271</v>
      </c>
      <c r="L133" s="58" t="s">
        <v>1861</v>
      </c>
      <c r="M133" s="58" t="s">
        <v>272</v>
      </c>
      <c r="N133" s="58" t="s">
        <v>234</v>
      </c>
      <c r="O133" s="58" t="s">
        <v>3173</v>
      </c>
      <c r="P133" s="58" t="s">
        <v>572</v>
      </c>
      <c r="Q133" s="58" t="s">
        <v>569</v>
      </c>
      <c r="R133" s="58" t="s">
        <v>3134</v>
      </c>
      <c r="S133" s="59" t="s">
        <v>572</v>
      </c>
      <c r="T133" s="59" t="s">
        <v>2044</v>
      </c>
      <c r="U133" s="60"/>
      <c r="V133" s="59" t="s">
        <v>3055</v>
      </c>
      <c r="W133" s="59" t="str">
        <f>IF(COUNTIF('Survey 2 Papers'!$D:$D,D133)&gt;0,"Shared with S2","Unique")</f>
        <v>Unique</v>
      </c>
    </row>
    <row r="134" spans="1:23" x14ac:dyDescent="0.35">
      <c r="A134" s="58" t="s">
        <v>18</v>
      </c>
      <c r="B134" s="58" t="s">
        <v>3174</v>
      </c>
      <c r="C134" s="58">
        <v>2024</v>
      </c>
      <c r="D134" s="58" t="s">
        <v>3175</v>
      </c>
      <c r="E134" s="58" t="s">
        <v>3176</v>
      </c>
      <c r="F134" s="58" t="s">
        <v>3177</v>
      </c>
      <c r="G134" s="58" t="s">
        <v>175</v>
      </c>
      <c r="H134" s="58" t="s">
        <v>3178</v>
      </c>
      <c r="I134" s="58" t="s">
        <v>225</v>
      </c>
      <c r="J134" s="58" t="s">
        <v>278</v>
      </c>
      <c r="K134" s="58" t="s">
        <v>271</v>
      </c>
      <c r="L134" s="58" t="s">
        <v>1861</v>
      </c>
      <c r="M134" s="58" t="s">
        <v>285</v>
      </c>
      <c r="N134" s="58" t="s">
        <v>2267</v>
      </c>
      <c r="O134" s="58" t="s">
        <v>3179</v>
      </c>
      <c r="P134" s="58" t="s">
        <v>568</v>
      </c>
      <c r="Q134" s="58" t="s">
        <v>569</v>
      </c>
      <c r="R134" s="58" t="s">
        <v>3180</v>
      </c>
      <c r="S134" s="59" t="s">
        <v>568</v>
      </c>
      <c r="T134" s="59" t="s">
        <v>382</v>
      </c>
      <c r="U134" s="60"/>
      <c r="V134" s="59" t="s">
        <v>3181</v>
      </c>
      <c r="W134" s="59" t="str">
        <f>IF(COUNTIF('Survey 2 Papers'!$D:$D,D134)&gt;0,"Shared with S2","Unique")</f>
        <v>Unique</v>
      </c>
    </row>
    <row r="135" spans="1:23" x14ac:dyDescent="0.35">
      <c r="A135" s="58" t="s">
        <v>544</v>
      </c>
      <c r="B135" s="58" t="s">
        <v>3182</v>
      </c>
      <c r="C135" s="58">
        <v>2024</v>
      </c>
      <c r="D135" s="58" t="s">
        <v>3183</v>
      </c>
      <c r="E135" s="58" t="s">
        <v>3184</v>
      </c>
      <c r="F135" s="58" t="s">
        <v>3185</v>
      </c>
      <c r="G135" s="58" t="s">
        <v>1808</v>
      </c>
      <c r="H135" s="58" t="s">
        <v>3186</v>
      </c>
      <c r="I135" s="58" t="s">
        <v>226</v>
      </c>
      <c r="J135" s="58" t="s">
        <v>274</v>
      </c>
      <c r="K135" s="58" t="s">
        <v>271</v>
      </c>
      <c r="L135" s="58" t="s">
        <v>1861</v>
      </c>
      <c r="M135" s="58" t="s">
        <v>285</v>
      </c>
      <c r="N135" s="58" t="s">
        <v>2267</v>
      </c>
      <c r="O135" s="58"/>
      <c r="P135" s="58" t="s">
        <v>568</v>
      </c>
      <c r="Q135" s="58" t="s">
        <v>569</v>
      </c>
      <c r="R135" s="58"/>
      <c r="S135" s="59" t="s">
        <v>568</v>
      </c>
      <c r="T135" s="59" t="s">
        <v>382</v>
      </c>
      <c r="U135" s="60"/>
      <c r="V135" s="59" t="s">
        <v>3187</v>
      </c>
      <c r="W135" s="59" t="str">
        <f>IF(COUNTIF('Survey 2 Papers'!$D:$D,D135)&gt;0,"Shared with S2","Unique")</f>
        <v>Unique</v>
      </c>
    </row>
    <row r="136" spans="1:23" x14ac:dyDescent="0.35">
      <c r="A136" s="58" t="s">
        <v>18</v>
      </c>
      <c r="B136" s="58" t="s">
        <v>3116</v>
      </c>
      <c r="C136" s="58">
        <v>2026</v>
      </c>
      <c r="D136" s="58" t="s">
        <v>3188</v>
      </c>
      <c r="E136" s="58" t="s">
        <v>3189</v>
      </c>
      <c r="F136" s="58" t="s">
        <v>3190</v>
      </c>
      <c r="G136" s="58" t="s">
        <v>174</v>
      </c>
      <c r="H136" s="58" t="s">
        <v>3191</v>
      </c>
      <c r="I136" s="58" t="s">
        <v>225</v>
      </c>
      <c r="J136" s="58" t="s">
        <v>273</v>
      </c>
      <c r="K136" s="58" t="s">
        <v>271</v>
      </c>
      <c r="L136" s="58" t="s">
        <v>1861</v>
      </c>
      <c r="M136" s="58" t="s">
        <v>285</v>
      </c>
      <c r="N136" s="58" t="s">
        <v>238</v>
      </c>
      <c r="O136" s="58" t="s">
        <v>3192</v>
      </c>
      <c r="P136" s="58" t="s">
        <v>576</v>
      </c>
      <c r="Q136" s="58" t="s">
        <v>569</v>
      </c>
      <c r="R136" s="58" t="s">
        <v>3193</v>
      </c>
      <c r="S136" s="59" t="s">
        <v>576</v>
      </c>
      <c r="T136" s="59" t="s">
        <v>382</v>
      </c>
      <c r="U136" s="60">
        <v>1</v>
      </c>
      <c r="V136" s="59" t="s">
        <v>3194</v>
      </c>
      <c r="W136" s="59" t="str">
        <f>IF(COUNTIF('Survey 2 Papers'!$D:$D,D136)&gt;0,"Shared with S2","Unique")</f>
        <v>Unique</v>
      </c>
    </row>
    <row r="137" spans="1:23" x14ac:dyDescent="0.35">
      <c r="A137" s="58" t="s">
        <v>18</v>
      </c>
      <c r="B137" s="58" t="s">
        <v>3195</v>
      </c>
      <c r="C137" s="58">
        <v>2025</v>
      </c>
      <c r="D137" s="58" t="s">
        <v>3196</v>
      </c>
      <c r="E137" s="58" t="s">
        <v>3197</v>
      </c>
      <c r="F137" s="58" t="s">
        <v>3198</v>
      </c>
      <c r="G137" s="58" t="s">
        <v>1808</v>
      </c>
      <c r="H137" s="58" t="s">
        <v>3186</v>
      </c>
      <c r="I137" s="58" t="s">
        <v>227</v>
      </c>
      <c r="J137" s="58" t="s">
        <v>270</v>
      </c>
      <c r="K137" s="58" t="s">
        <v>271</v>
      </c>
      <c r="L137" s="58" t="s">
        <v>1861</v>
      </c>
      <c r="M137" s="58" t="s">
        <v>275</v>
      </c>
      <c r="N137" s="58" t="s">
        <v>233</v>
      </c>
      <c r="O137" s="58" t="s">
        <v>3199</v>
      </c>
      <c r="P137" s="58" t="s">
        <v>568</v>
      </c>
      <c r="Q137" s="58" t="s">
        <v>569</v>
      </c>
      <c r="R137" s="58"/>
      <c r="S137" s="59" t="s">
        <v>568</v>
      </c>
      <c r="T137" s="59" t="s">
        <v>2044</v>
      </c>
      <c r="U137" s="60"/>
      <c r="V137" s="59" t="s">
        <v>3181</v>
      </c>
      <c r="W137" s="59" t="str">
        <f>IF(COUNTIF('Survey 2 Papers'!$D:$D,D137)&gt;0,"Shared with S2","Unique")</f>
        <v>Unique</v>
      </c>
    </row>
    <row r="138" spans="1:23" x14ac:dyDescent="0.35">
      <c r="A138" s="58" t="s">
        <v>18</v>
      </c>
      <c r="B138" s="58" t="s">
        <v>3200</v>
      </c>
      <c r="C138" s="58">
        <v>2020</v>
      </c>
      <c r="D138" s="58" t="s">
        <v>3201</v>
      </c>
      <c r="E138" s="58" t="s">
        <v>3202</v>
      </c>
      <c r="F138" s="58" t="s">
        <v>3203</v>
      </c>
      <c r="G138" s="58" t="s">
        <v>183</v>
      </c>
      <c r="H138" s="58" t="s">
        <v>3204</v>
      </c>
      <c r="I138" s="58" t="s">
        <v>226</v>
      </c>
      <c r="J138" s="58" t="s">
        <v>274</v>
      </c>
      <c r="K138" s="58" t="s">
        <v>271</v>
      </c>
      <c r="L138" s="58" t="s">
        <v>1861</v>
      </c>
      <c r="M138" s="58" t="s">
        <v>275</v>
      </c>
      <c r="N138" s="58" t="s">
        <v>509</v>
      </c>
      <c r="O138" s="58" t="s">
        <v>3205</v>
      </c>
      <c r="P138" s="58" t="s">
        <v>3206</v>
      </c>
      <c r="Q138" s="58" t="s">
        <v>569</v>
      </c>
      <c r="R138" s="58"/>
      <c r="S138" s="59" t="s">
        <v>568</v>
      </c>
      <c r="T138" s="59" t="s">
        <v>382</v>
      </c>
      <c r="U138" s="60"/>
      <c r="V138" s="59" t="s">
        <v>3207</v>
      </c>
      <c r="W138" s="59" t="str">
        <f>IF(COUNTIF('Survey 2 Papers'!$D:$D,D138)&gt;0,"Shared with S2","Unique")</f>
        <v>Unique</v>
      </c>
    </row>
    <row r="139" spans="1:23" x14ac:dyDescent="0.35">
      <c r="A139" s="58" t="s">
        <v>404</v>
      </c>
      <c r="B139" s="58" t="s">
        <v>3208</v>
      </c>
      <c r="C139" s="58">
        <v>2025</v>
      </c>
      <c r="D139" s="58" t="s">
        <v>3209</v>
      </c>
      <c r="E139" s="58" t="s">
        <v>3184</v>
      </c>
      <c r="F139" s="58" t="s">
        <v>3210</v>
      </c>
      <c r="G139" s="58" t="s">
        <v>1808</v>
      </c>
      <c r="H139" s="58" t="s">
        <v>3186</v>
      </c>
      <c r="I139" s="58" t="s">
        <v>227</v>
      </c>
      <c r="J139" s="58" t="s">
        <v>276</v>
      </c>
      <c r="K139" s="58" t="s">
        <v>271</v>
      </c>
      <c r="L139" s="58" t="s">
        <v>1861</v>
      </c>
      <c r="M139" s="58" t="s">
        <v>275</v>
      </c>
      <c r="N139" s="58" t="s">
        <v>563</v>
      </c>
      <c r="O139" s="58" t="s">
        <v>3211</v>
      </c>
      <c r="P139" s="58" t="s">
        <v>571</v>
      </c>
      <c r="Q139" s="58" t="s">
        <v>569</v>
      </c>
      <c r="R139" s="58"/>
      <c r="S139" s="59" t="s">
        <v>571</v>
      </c>
      <c r="T139" s="59" t="s">
        <v>382</v>
      </c>
      <c r="U139" s="60"/>
      <c r="V139" s="59" t="s">
        <v>3181</v>
      </c>
      <c r="W139" s="59" t="str">
        <f>IF(COUNTIF('Survey 2 Papers'!$D:$D,D139)&gt;0,"Shared with S2","Unique")</f>
        <v>Unique</v>
      </c>
    </row>
    <row r="140" spans="1:23" x14ac:dyDescent="0.35">
      <c r="A140" s="58" t="s">
        <v>544</v>
      </c>
      <c r="B140" s="58" t="s">
        <v>3212</v>
      </c>
      <c r="C140" s="58">
        <v>2022</v>
      </c>
      <c r="D140" s="58" t="s">
        <v>3213</v>
      </c>
      <c r="E140" s="58" t="s">
        <v>3214</v>
      </c>
      <c r="F140" s="58" t="s">
        <v>3215</v>
      </c>
      <c r="G140" s="58" t="s">
        <v>174</v>
      </c>
      <c r="H140" s="58" t="s">
        <v>3216</v>
      </c>
      <c r="I140" s="58" t="s">
        <v>227</v>
      </c>
      <c r="J140" s="58" t="s">
        <v>274</v>
      </c>
      <c r="K140" s="58" t="s">
        <v>271</v>
      </c>
      <c r="L140" s="58" t="s">
        <v>1861</v>
      </c>
      <c r="M140" s="58" t="s">
        <v>275</v>
      </c>
      <c r="N140" s="58" t="s">
        <v>490</v>
      </c>
      <c r="O140" s="58" t="s">
        <v>240</v>
      </c>
      <c r="P140" s="58" t="s">
        <v>568</v>
      </c>
      <c r="Q140" s="58" t="s">
        <v>569</v>
      </c>
      <c r="R140" s="58" t="s">
        <v>3217</v>
      </c>
      <c r="S140" s="59" t="s">
        <v>568</v>
      </c>
      <c r="T140" s="59" t="s">
        <v>2044</v>
      </c>
      <c r="U140" s="60"/>
      <c r="V140" s="59" t="s">
        <v>3181</v>
      </c>
      <c r="W140" s="59" t="str">
        <f>IF(COUNTIF('Survey 2 Papers'!$D:$D,D140)&gt;0,"Shared with S2","Unique")</f>
        <v>Unique</v>
      </c>
    </row>
    <row r="141" spans="1:23" x14ac:dyDescent="0.35">
      <c r="A141" s="58" t="s">
        <v>544</v>
      </c>
      <c r="B141" s="58" t="s">
        <v>3212</v>
      </c>
      <c r="C141" s="58">
        <v>2025</v>
      </c>
      <c r="D141" s="58" t="s">
        <v>3218</v>
      </c>
      <c r="E141" s="58" t="s">
        <v>3184</v>
      </c>
      <c r="F141" s="58" t="s">
        <v>3219</v>
      </c>
      <c r="G141" s="58" t="s">
        <v>1808</v>
      </c>
      <c r="H141" s="58" t="s">
        <v>3186</v>
      </c>
      <c r="I141" s="58" t="s">
        <v>227</v>
      </c>
      <c r="J141" s="58" t="s">
        <v>274</v>
      </c>
      <c r="K141" s="58" t="s">
        <v>271</v>
      </c>
      <c r="L141" s="58" t="s">
        <v>1861</v>
      </c>
      <c r="M141" s="58" t="s">
        <v>275</v>
      </c>
      <c r="N141" s="58" t="s">
        <v>496</v>
      </c>
      <c r="O141" s="58"/>
      <c r="P141" s="58" t="s">
        <v>568</v>
      </c>
      <c r="Q141" s="58" t="s">
        <v>569</v>
      </c>
      <c r="R141" s="58"/>
      <c r="S141" s="59" t="s">
        <v>568</v>
      </c>
      <c r="T141" s="59" t="s">
        <v>2044</v>
      </c>
      <c r="U141" s="60"/>
      <c r="V141" s="59" t="s">
        <v>3181</v>
      </c>
      <c r="W141" s="59" t="str">
        <f>IF(COUNTIF('Survey 2 Papers'!$D:$D,D141)&gt;0,"Shared with S2","Unique")</f>
        <v>Unique</v>
      </c>
    </row>
    <row r="142" spans="1:23" x14ac:dyDescent="0.35">
      <c r="A142" s="58" t="s">
        <v>18</v>
      </c>
      <c r="B142" s="58" t="s">
        <v>2397</v>
      </c>
      <c r="C142" s="58">
        <v>2001</v>
      </c>
      <c r="D142" s="58" t="s">
        <v>3220</v>
      </c>
      <c r="E142" s="58" t="s">
        <v>3221</v>
      </c>
      <c r="F142" s="58" t="s">
        <v>3222</v>
      </c>
      <c r="G142" s="58" t="s">
        <v>183</v>
      </c>
      <c r="H142" s="58" t="s">
        <v>3223</v>
      </c>
      <c r="I142" s="58" t="s">
        <v>227</v>
      </c>
      <c r="J142" s="58" t="s">
        <v>273</v>
      </c>
      <c r="K142" s="58" t="s">
        <v>271</v>
      </c>
      <c r="L142" s="58" t="s">
        <v>1861</v>
      </c>
      <c r="M142" s="58" t="s">
        <v>272</v>
      </c>
      <c r="N142" s="58" t="s">
        <v>468</v>
      </c>
      <c r="O142" s="58" t="s">
        <v>3224</v>
      </c>
      <c r="P142" s="58" t="s">
        <v>576</v>
      </c>
      <c r="Q142" s="58" t="s">
        <v>569</v>
      </c>
      <c r="R142" s="58"/>
      <c r="S142" s="59" t="s">
        <v>576</v>
      </c>
      <c r="T142" s="59" t="s">
        <v>2044</v>
      </c>
      <c r="U142" s="60"/>
      <c r="V142" s="59" t="s">
        <v>3225</v>
      </c>
      <c r="W142" s="59" t="str">
        <f>IF(COUNTIF('Survey 2 Papers'!$D:$D,D142)&gt;0,"Shared with S2","Unique")</f>
        <v>Unique</v>
      </c>
    </row>
    <row r="143" spans="1:23" x14ac:dyDescent="0.35">
      <c r="A143" s="58" t="s">
        <v>18</v>
      </c>
      <c r="B143" s="58" t="s">
        <v>3226</v>
      </c>
      <c r="C143" s="58">
        <v>2018</v>
      </c>
      <c r="D143" s="58" t="s">
        <v>3227</v>
      </c>
      <c r="E143" s="58" t="s">
        <v>3184</v>
      </c>
      <c r="F143" s="58" t="s">
        <v>3228</v>
      </c>
      <c r="G143" s="58" t="s">
        <v>1808</v>
      </c>
      <c r="H143" s="58" t="s">
        <v>3186</v>
      </c>
      <c r="I143" s="58" t="s">
        <v>1434</v>
      </c>
      <c r="J143" s="58" t="s">
        <v>273</v>
      </c>
      <c r="K143" s="58" t="s">
        <v>271</v>
      </c>
      <c r="L143" s="58" t="s">
        <v>1861</v>
      </c>
      <c r="M143" s="58" t="s">
        <v>272</v>
      </c>
      <c r="N143" s="58" t="s">
        <v>509</v>
      </c>
      <c r="O143" s="58" t="s">
        <v>3229</v>
      </c>
      <c r="P143" s="58" t="s">
        <v>576</v>
      </c>
      <c r="Q143" s="58" t="s">
        <v>569</v>
      </c>
      <c r="R143" s="58"/>
      <c r="S143" s="59" t="s">
        <v>576</v>
      </c>
      <c r="T143" s="59" t="s">
        <v>2044</v>
      </c>
      <c r="U143" s="60"/>
      <c r="V143" s="59" t="s">
        <v>3230</v>
      </c>
      <c r="W143" s="59" t="str">
        <f>IF(COUNTIF('Survey 2 Papers'!$D:$D,D143)&gt;0,"Shared with S2","Unique")</f>
        <v>Unique</v>
      </c>
    </row>
    <row r="144" spans="1:23" x14ac:dyDescent="0.35">
      <c r="A144" s="58" t="s">
        <v>332</v>
      </c>
      <c r="B144" s="58" t="s">
        <v>599</v>
      </c>
      <c r="C144" s="58">
        <v>2025</v>
      </c>
      <c r="D144" s="58" t="s">
        <v>3231</v>
      </c>
      <c r="E144" s="58" t="s">
        <v>3232</v>
      </c>
      <c r="F144" s="58" t="s">
        <v>3233</v>
      </c>
      <c r="G144" s="58" t="s">
        <v>174</v>
      </c>
      <c r="H144" s="58" t="s">
        <v>3234</v>
      </c>
      <c r="I144" s="58" t="s">
        <v>227</v>
      </c>
      <c r="J144" s="58" t="s">
        <v>282</v>
      </c>
      <c r="K144" s="58" t="s">
        <v>271</v>
      </c>
      <c r="L144" s="58" t="s">
        <v>1939</v>
      </c>
      <c r="M144" s="58" t="s">
        <v>275</v>
      </c>
      <c r="N144" s="58" t="s">
        <v>490</v>
      </c>
      <c r="O144" s="58"/>
      <c r="P144" s="58" t="s">
        <v>573</v>
      </c>
      <c r="Q144" s="58" t="s">
        <v>569</v>
      </c>
      <c r="R144" s="58" t="s">
        <v>3235</v>
      </c>
      <c r="S144" s="59" t="s">
        <v>573</v>
      </c>
      <c r="T144" s="59" t="s">
        <v>382</v>
      </c>
      <c r="U144" s="60"/>
      <c r="V144" s="59" t="s">
        <v>3236</v>
      </c>
      <c r="W144" s="59" t="str">
        <f>IF(COUNTIF('Survey 2 Papers'!$D:$D,D144)&gt;0,"Shared with S2","Unique")</f>
        <v>Unique</v>
      </c>
    </row>
    <row r="145" spans="1:23" x14ac:dyDescent="0.35">
      <c r="A145" s="58" t="s">
        <v>18</v>
      </c>
      <c r="B145" s="58" t="s">
        <v>3237</v>
      </c>
      <c r="C145" s="58">
        <v>2024</v>
      </c>
      <c r="D145" s="58" t="s">
        <v>3238</v>
      </c>
      <c r="E145" s="58" t="s">
        <v>3239</v>
      </c>
      <c r="F145" s="58" t="s">
        <v>3240</v>
      </c>
      <c r="G145" s="58" t="s">
        <v>174</v>
      </c>
      <c r="H145" s="58" t="s">
        <v>3186</v>
      </c>
      <c r="I145" s="58" t="s">
        <v>1434</v>
      </c>
      <c r="J145" s="58" t="s">
        <v>273</v>
      </c>
      <c r="K145" s="58" t="s">
        <v>271</v>
      </c>
      <c r="L145" s="58" t="s">
        <v>1861</v>
      </c>
      <c r="M145" s="58" t="s">
        <v>272</v>
      </c>
      <c r="N145" s="58" t="s">
        <v>233</v>
      </c>
      <c r="O145" s="58" t="s">
        <v>3241</v>
      </c>
      <c r="P145" s="58" t="s">
        <v>576</v>
      </c>
      <c r="Q145" s="58" t="s">
        <v>569</v>
      </c>
      <c r="R145" s="58" t="s">
        <v>3134</v>
      </c>
      <c r="S145" s="59" t="s">
        <v>576</v>
      </c>
      <c r="T145" s="59" t="s">
        <v>2044</v>
      </c>
      <c r="U145" s="60"/>
      <c r="V145" s="59" t="s">
        <v>3181</v>
      </c>
      <c r="W145" s="59" t="str">
        <f>IF(COUNTIF('Survey 2 Papers'!$D:$D,D145)&gt;0,"Shared with S2","Unique")</f>
        <v>Unique</v>
      </c>
    </row>
    <row r="146" spans="1:23" x14ac:dyDescent="0.35">
      <c r="A146" s="58" t="s">
        <v>18</v>
      </c>
      <c r="B146" s="58" t="s">
        <v>3242</v>
      </c>
      <c r="C146" s="58"/>
      <c r="D146" s="58" t="s">
        <v>3243</v>
      </c>
      <c r="E146" s="58" t="s">
        <v>3244</v>
      </c>
      <c r="F146" s="58" t="s">
        <v>3245</v>
      </c>
      <c r="G146" s="58" t="s">
        <v>1808</v>
      </c>
      <c r="H146" s="58" t="s">
        <v>2996</v>
      </c>
      <c r="I146" s="58" t="s">
        <v>3246</v>
      </c>
      <c r="J146" s="58" t="s">
        <v>273</v>
      </c>
      <c r="K146" s="58" t="s">
        <v>271</v>
      </c>
      <c r="L146" s="58" t="s">
        <v>1861</v>
      </c>
      <c r="M146" s="58" t="s">
        <v>272</v>
      </c>
      <c r="N146" s="58" t="s">
        <v>509</v>
      </c>
      <c r="O146" s="58" t="s">
        <v>3247</v>
      </c>
      <c r="P146" s="58" t="s">
        <v>576</v>
      </c>
      <c r="Q146" s="58" t="s">
        <v>569</v>
      </c>
      <c r="R146" s="58" t="s">
        <v>3248</v>
      </c>
      <c r="S146" s="59" t="s">
        <v>576</v>
      </c>
      <c r="T146" s="59" t="s">
        <v>2044</v>
      </c>
      <c r="U146" s="60"/>
      <c r="V146" s="59" t="s">
        <v>3181</v>
      </c>
      <c r="W146" s="59" t="str">
        <f>IF(COUNTIF('Survey 2 Papers'!$D:$D,D146)&gt;0,"Shared with S2","Unique")</f>
        <v>Unique</v>
      </c>
    </row>
    <row r="147" spans="1:23" x14ac:dyDescent="0.35">
      <c r="A147" s="58" t="s">
        <v>18</v>
      </c>
      <c r="B147" s="58" t="s">
        <v>3249</v>
      </c>
      <c r="C147" s="58">
        <v>2025</v>
      </c>
      <c r="D147" s="58" t="s">
        <v>3250</v>
      </c>
      <c r="E147" s="58" t="s">
        <v>3184</v>
      </c>
      <c r="F147" s="58" t="s">
        <v>3251</v>
      </c>
      <c r="G147" s="58" t="s">
        <v>1808</v>
      </c>
      <c r="H147" s="58" t="s">
        <v>2996</v>
      </c>
      <c r="I147" s="58" t="s">
        <v>1434</v>
      </c>
      <c r="J147" s="58" t="s">
        <v>273</v>
      </c>
      <c r="K147" s="58" t="s">
        <v>271</v>
      </c>
      <c r="L147" s="58" t="s">
        <v>1861</v>
      </c>
      <c r="M147" s="58" t="s">
        <v>272</v>
      </c>
      <c r="N147" s="58" t="s">
        <v>509</v>
      </c>
      <c r="O147" s="58" t="s">
        <v>3252</v>
      </c>
      <c r="P147" s="58" t="s">
        <v>576</v>
      </c>
      <c r="Q147" s="58" t="s">
        <v>569</v>
      </c>
      <c r="R147" s="58"/>
      <c r="S147" s="59" t="s">
        <v>576</v>
      </c>
      <c r="T147" s="59" t="s">
        <v>2044</v>
      </c>
      <c r="U147" s="60"/>
      <c r="V147" s="59" t="s">
        <v>3181</v>
      </c>
      <c r="W147" s="59" t="str">
        <f>IF(COUNTIF('Survey 2 Papers'!$D:$D,D147)&gt;0,"Shared with S2","Unique")</f>
        <v>Unique</v>
      </c>
    </row>
  </sheetData>
  <conditionalFormatting sqref="Q2:Q45">
    <cfRule type="expression" dxfId="8" priority="7">
      <formula>EXACT($Q2,"Read")</formula>
    </cfRule>
    <cfRule type="expression" dxfId="7" priority="8">
      <formula>EXACT($Q2,"Reading")</formula>
    </cfRule>
  </conditionalFormatting>
  <conditionalFormatting sqref="S2:T147">
    <cfRule type="expression" dxfId="6" priority="1">
      <formula>$T2="Core"</formula>
    </cfRule>
    <cfRule type="expression" dxfId="5" priority="2">
      <formula>$T2="Context"</formula>
    </cfRule>
  </conditionalFormatting>
  <dataValidations count="1">
    <dataValidation type="list" allowBlank="1" showInputMessage="1" showErrorMessage="1" sqref="Q2:Q45" xr:uid="{FCBAA477-E422-4143-9E11-ABEE20421069}">
      <formula1>"To read,Reading,Read"</formula1>
    </dataValidation>
  </dataValidations>
  <hyperlinks>
    <hyperlink ref="H2" r:id="rId1" xr:uid="{2E5B5FFF-5E01-48E7-95F3-731ECC559015}"/>
    <hyperlink ref="H4" r:id="rId2" xr:uid="{19F2FA41-C8E4-453A-9E33-029A341208D7}"/>
    <hyperlink ref="H10" r:id="rId3" xr:uid="{2AB4E826-5002-42C8-9920-4934F86BD09A}"/>
    <hyperlink ref="H11" r:id="rId4" xr:uid="{629542A4-4A11-4D81-A7F4-66D57D4784F1}"/>
    <hyperlink ref="H13" r:id="rId5" xr:uid="{753E205D-8B44-4799-82F5-3F47500C8854}"/>
    <hyperlink ref="H14" r:id="rId6" xr:uid="{3523ACF9-FD6D-403D-BAD4-8159269EBEF4}"/>
    <hyperlink ref="H18" r:id="rId7" xr:uid="{4ED820A1-0C8E-459C-878E-845D48D25833}"/>
    <hyperlink ref="H20" r:id="rId8" xr:uid="{32379F70-E0F0-4C4F-87A2-2AFEAEE8EC5B}"/>
  </hyperlinks>
  <pageMargins left="0.7" right="0.7" top="0.75" bottom="0.75" header="0.3" footer="0.3"/>
  <pageSetup paperSize="9" orientation="portrait"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5F2E-EA7F-4D81-807B-153900F6C3AD}">
  <dimension ref="A1:U177"/>
  <sheetViews>
    <sheetView workbookViewId="0">
      <pane ySplit="1" topLeftCell="A2" activePane="bottomLeft" state="frozen"/>
      <selection activeCell="S1" sqref="S1"/>
      <selection pane="bottomLeft" activeCell="D25" sqref="D25"/>
    </sheetView>
  </sheetViews>
  <sheetFormatPr defaultRowHeight="14.5" x14ac:dyDescent="0.35"/>
  <cols>
    <col min="1" max="1" width="42.1796875" bestFit="1" customWidth="1"/>
    <col min="2" max="2" width="46.26953125" bestFit="1" customWidth="1"/>
    <col min="3" max="3" width="4.81640625" bestFit="1" customWidth="1"/>
    <col min="4" max="4" width="98.1796875" bestFit="1" customWidth="1"/>
    <col min="5" max="5" width="50.81640625" bestFit="1" customWidth="1"/>
    <col min="6" max="6" width="83.6328125" bestFit="1" customWidth="1"/>
    <col min="7" max="7" width="35.453125" bestFit="1" customWidth="1"/>
    <col min="8" max="8" width="52.1796875" bestFit="1" customWidth="1"/>
    <col min="10" max="10" width="23.08984375" bestFit="1" customWidth="1"/>
    <col min="11" max="11" width="16.1796875" bestFit="1" customWidth="1"/>
    <col min="12" max="12" width="6.36328125" bestFit="1" customWidth="1"/>
    <col min="13" max="13" width="13.08984375" bestFit="1" customWidth="1"/>
    <col min="14" max="14" width="23.6328125" customWidth="1"/>
    <col min="15" max="15" width="61.81640625" customWidth="1"/>
    <col min="16" max="16" width="10" customWidth="1"/>
    <col min="17" max="17" width="15.453125" customWidth="1"/>
    <col min="18" max="18" width="58.1796875" customWidth="1"/>
    <col min="19" max="19" width="27.26953125" customWidth="1"/>
    <col min="20" max="20" width="36.36328125" customWidth="1"/>
    <col min="21" max="21" width="20" customWidth="1"/>
  </cols>
  <sheetData>
    <row r="1" spans="1:21" s="1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266</v>
      </c>
      <c r="K1" s="12" t="s">
        <v>267</v>
      </c>
      <c r="L1" s="12" t="s">
        <v>268</v>
      </c>
      <c r="M1" s="12" t="s">
        <v>269</v>
      </c>
      <c r="N1" s="12" t="s">
        <v>458</v>
      </c>
      <c r="O1" s="13" t="s">
        <v>459</v>
      </c>
      <c r="P1" s="12" t="s">
        <v>565</v>
      </c>
      <c r="Q1" s="12" t="s">
        <v>566</v>
      </c>
      <c r="R1" s="13" t="s">
        <v>567</v>
      </c>
      <c r="S1" s="13" t="s">
        <v>2165</v>
      </c>
      <c r="T1" s="13" t="s">
        <v>2166</v>
      </c>
      <c r="U1" s="13" t="s">
        <v>2641</v>
      </c>
    </row>
    <row r="2" spans="1:21" x14ac:dyDescent="0.35">
      <c r="A2" s="14" t="s">
        <v>10</v>
      </c>
      <c r="B2" t="s">
        <v>25</v>
      </c>
      <c r="C2">
        <v>2017</v>
      </c>
      <c r="D2" s="8" t="s">
        <v>64</v>
      </c>
      <c r="E2" t="s">
        <v>103</v>
      </c>
      <c r="F2" t="s">
        <v>140</v>
      </c>
      <c r="G2" t="s">
        <v>177</v>
      </c>
      <c r="H2" t="s">
        <v>191</v>
      </c>
      <c r="I2" t="s">
        <v>225</v>
      </c>
      <c r="J2" t="s">
        <v>276</v>
      </c>
      <c r="K2" t="s">
        <v>271</v>
      </c>
      <c r="L2" t="s">
        <v>238</v>
      </c>
      <c r="M2" t="s">
        <v>272</v>
      </c>
      <c r="N2" t="s">
        <v>234</v>
      </c>
      <c r="O2" s="4" t="s">
        <v>463</v>
      </c>
      <c r="P2" t="s">
        <v>571</v>
      </c>
      <c r="Q2" t="s">
        <v>569</v>
      </c>
      <c r="R2" s="4"/>
      <c r="S2" t="s">
        <v>2195</v>
      </c>
      <c r="U2" t="str">
        <f>IF(COUNTIF('Survey 1 Papers'!$D:$D,D2)&gt;0,"Shared with S1","Unique")</f>
        <v>Shared with S1</v>
      </c>
    </row>
    <row r="3" spans="1:21" x14ac:dyDescent="0.35">
      <c r="A3" s="14" t="s">
        <v>10</v>
      </c>
      <c r="B3" t="s">
        <v>26</v>
      </c>
      <c r="C3">
        <v>2019</v>
      </c>
      <c r="D3" s="8" t="s">
        <v>65</v>
      </c>
      <c r="E3" t="s">
        <v>2158</v>
      </c>
      <c r="F3" t="s">
        <v>141</v>
      </c>
      <c r="G3" t="s">
        <v>174</v>
      </c>
      <c r="H3" t="s">
        <v>2159</v>
      </c>
      <c r="I3" t="s">
        <v>226</v>
      </c>
      <c r="J3" t="s">
        <v>276</v>
      </c>
      <c r="K3" t="s">
        <v>271</v>
      </c>
      <c r="L3" t="s">
        <v>238</v>
      </c>
      <c r="M3" t="s">
        <v>272</v>
      </c>
      <c r="N3" t="s">
        <v>240</v>
      </c>
      <c r="O3" s="4" t="s">
        <v>464</v>
      </c>
      <c r="P3" t="s">
        <v>571</v>
      </c>
      <c r="Q3" t="s">
        <v>569</v>
      </c>
      <c r="R3" s="4"/>
      <c r="S3" t="s">
        <v>2196</v>
      </c>
      <c r="T3" t="s">
        <v>2168</v>
      </c>
      <c r="U3" t="str">
        <f>IF(COUNTIF('Survey 1 Papers'!$D:$D,D3)&gt;0,"Shared with S1","Unique")</f>
        <v>Shared with S1</v>
      </c>
    </row>
    <row r="4" spans="1:21" x14ac:dyDescent="0.35">
      <c r="A4" s="14" t="s">
        <v>18</v>
      </c>
      <c r="B4" t="s">
        <v>53</v>
      </c>
      <c r="C4">
        <v>2012</v>
      </c>
      <c r="D4" s="8" t="s">
        <v>92</v>
      </c>
      <c r="E4" t="s">
        <v>130</v>
      </c>
      <c r="F4" t="s">
        <v>168</v>
      </c>
      <c r="G4" t="s">
        <v>175</v>
      </c>
      <c r="H4" t="s">
        <v>219</v>
      </c>
      <c r="I4" t="s">
        <v>225</v>
      </c>
      <c r="J4" t="s">
        <v>282</v>
      </c>
      <c r="K4" t="s">
        <v>283</v>
      </c>
      <c r="L4" t="s">
        <v>284</v>
      </c>
      <c r="M4" t="s">
        <v>285</v>
      </c>
      <c r="N4" t="s">
        <v>261</v>
      </c>
      <c r="O4" s="4" t="s">
        <v>472</v>
      </c>
      <c r="P4" t="s">
        <v>573</v>
      </c>
      <c r="Q4" t="s">
        <v>569</v>
      </c>
      <c r="R4" s="4"/>
      <c r="S4" t="s">
        <v>2197</v>
      </c>
      <c r="U4" t="str">
        <f>IF(COUNTIF('Survey 1 Papers'!$D:$D,D4)&gt;0,"Shared with S1","Unique")</f>
        <v>Shared with S1</v>
      </c>
    </row>
    <row r="5" spans="1:21" x14ac:dyDescent="0.35">
      <c r="A5" s="14" t="s">
        <v>18</v>
      </c>
      <c r="B5" t="s">
        <v>54</v>
      </c>
      <c r="C5">
        <v>2018</v>
      </c>
      <c r="D5" s="8" t="s">
        <v>93</v>
      </c>
      <c r="E5" t="s">
        <v>131</v>
      </c>
      <c r="F5" t="s">
        <v>169</v>
      </c>
      <c r="G5" t="s">
        <v>174</v>
      </c>
      <c r="H5" t="s">
        <v>220</v>
      </c>
      <c r="I5" t="s">
        <v>225</v>
      </c>
      <c r="J5" t="s">
        <v>273</v>
      </c>
      <c r="K5" t="s">
        <v>271</v>
      </c>
      <c r="L5" t="s">
        <v>238</v>
      </c>
      <c r="M5" t="s">
        <v>272</v>
      </c>
      <c r="N5" t="s">
        <v>249</v>
      </c>
      <c r="O5" s="4" t="s">
        <v>264</v>
      </c>
      <c r="P5" t="s">
        <v>574</v>
      </c>
      <c r="Q5" t="s">
        <v>569</v>
      </c>
      <c r="R5" s="4"/>
      <c r="S5" t="s">
        <v>2198</v>
      </c>
      <c r="U5" t="str">
        <f>IF(COUNTIF('Survey 1 Papers'!$D:$D,D5)&gt;0,"Shared with S1","Unique")</f>
        <v>Shared with S1</v>
      </c>
    </row>
    <row r="6" spans="1:21" x14ac:dyDescent="0.35">
      <c r="A6" s="14" t="s">
        <v>18</v>
      </c>
      <c r="B6" t="s">
        <v>55</v>
      </c>
      <c r="C6">
        <v>2020</v>
      </c>
      <c r="D6" s="8" t="s">
        <v>94</v>
      </c>
      <c r="E6" t="s">
        <v>127</v>
      </c>
      <c r="F6" t="s">
        <v>170</v>
      </c>
      <c r="G6" t="s">
        <v>183</v>
      </c>
      <c r="H6" s="1" t="s">
        <v>221</v>
      </c>
      <c r="I6" t="s">
        <v>226</v>
      </c>
      <c r="J6" t="s">
        <v>273</v>
      </c>
      <c r="K6" t="s">
        <v>283</v>
      </c>
      <c r="L6" t="s">
        <v>284</v>
      </c>
      <c r="M6" t="s">
        <v>275</v>
      </c>
      <c r="N6" t="s">
        <v>240</v>
      </c>
      <c r="O6" s="4" t="s">
        <v>473</v>
      </c>
      <c r="P6" t="s">
        <v>575</v>
      </c>
      <c r="Q6" t="s">
        <v>569</v>
      </c>
      <c r="R6" s="4"/>
      <c r="S6" t="s">
        <v>2199</v>
      </c>
      <c r="U6" t="str">
        <f>IF(COUNTIF('Survey 1 Papers'!$D:$D,D6)&gt;0,"Shared with S1","Unique")</f>
        <v>Shared with S1</v>
      </c>
    </row>
    <row r="7" spans="1:21" x14ac:dyDescent="0.35">
      <c r="A7" s="14" t="s">
        <v>18</v>
      </c>
      <c r="B7" t="s">
        <v>56</v>
      </c>
      <c r="C7">
        <v>2021</v>
      </c>
      <c r="D7" s="8" t="s">
        <v>2163</v>
      </c>
      <c r="E7" t="s">
        <v>132</v>
      </c>
      <c r="F7" t="s">
        <v>171</v>
      </c>
      <c r="G7" t="s">
        <v>174</v>
      </c>
      <c r="H7" t="s">
        <v>222</v>
      </c>
      <c r="I7" t="s">
        <v>226</v>
      </c>
      <c r="J7" t="s">
        <v>276</v>
      </c>
      <c r="K7" t="s">
        <v>271</v>
      </c>
      <c r="L7" t="s">
        <v>284</v>
      </c>
      <c r="M7" t="s">
        <v>275</v>
      </c>
      <c r="N7" t="s">
        <v>240</v>
      </c>
      <c r="O7" s="4" t="s">
        <v>474</v>
      </c>
      <c r="P7" t="s">
        <v>575</v>
      </c>
      <c r="Q7" t="s">
        <v>569</v>
      </c>
      <c r="R7" s="4"/>
      <c r="S7" t="s">
        <v>2200</v>
      </c>
      <c r="T7" t="s">
        <v>2172</v>
      </c>
      <c r="U7" t="str">
        <f>IF(COUNTIF('Survey 1 Papers'!$D:$D,D7)&gt;0,"Shared with S1","Unique")</f>
        <v>Shared with S1</v>
      </c>
    </row>
    <row r="8" spans="1:21" x14ac:dyDescent="0.35">
      <c r="A8" s="14" t="s">
        <v>286</v>
      </c>
      <c r="B8" t="s">
        <v>287</v>
      </c>
      <c r="C8">
        <v>2012</v>
      </c>
      <c r="D8" s="10" t="s">
        <v>288</v>
      </c>
      <c r="E8" t="s">
        <v>289</v>
      </c>
      <c r="F8" t="s">
        <v>290</v>
      </c>
      <c r="G8" t="s">
        <v>291</v>
      </c>
      <c r="H8" t="s">
        <v>292</v>
      </c>
      <c r="I8" t="s">
        <v>225</v>
      </c>
      <c r="J8" t="s">
        <v>282</v>
      </c>
      <c r="K8" t="s">
        <v>283</v>
      </c>
      <c r="L8" t="s">
        <v>284</v>
      </c>
      <c r="M8" t="s">
        <v>285</v>
      </c>
      <c r="N8" t="s">
        <v>476</v>
      </c>
      <c r="O8" s="4" t="s">
        <v>477</v>
      </c>
      <c r="P8" t="s">
        <v>573</v>
      </c>
      <c r="Q8" t="s">
        <v>569</v>
      </c>
      <c r="R8" s="4"/>
      <c r="S8" t="s">
        <v>2201</v>
      </c>
      <c r="U8" t="str">
        <f>IF(COUNTIF('Survey 1 Papers'!$D:$D,D8)&gt;0,"Shared with S1","Unique")</f>
        <v>Shared with S1</v>
      </c>
    </row>
    <row r="9" spans="1:21" ht="29" x14ac:dyDescent="0.35">
      <c r="A9" s="14" t="s">
        <v>286</v>
      </c>
      <c r="B9" t="s">
        <v>293</v>
      </c>
      <c r="C9">
        <v>2013</v>
      </c>
      <c r="D9" s="8" t="s">
        <v>294</v>
      </c>
      <c r="E9" t="s">
        <v>295</v>
      </c>
      <c r="F9" t="s">
        <v>296</v>
      </c>
      <c r="G9" t="s">
        <v>297</v>
      </c>
      <c r="H9" t="s">
        <v>298</v>
      </c>
      <c r="I9" t="s">
        <v>225</v>
      </c>
      <c r="J9" t="s">
        <v>282</v>
      </c>
      <c r="K9" t="s">
        <v>283</v>
      </c>
      <c r="L9" t="s">
        <v>284</v>
      </c>
      <c r="M9" t="s">
        <v>285</v>
      </c>
      <c r="N9" t="s">
        <v>478</v>
      </c>
      <c r="O9" s="4" t="s">
        <v>479</v>
      </c>
      <c r="P9" t="s">
        <v>573</v>
      </c>
      <c r="Q9" t="s">
        <v>569</v>
      </c>
      <c r="R9" s="4"/>
      <c r="S9" t="s">
        <v>2202</v>
      </c>
      <c r="U9" t="str">
        <f>IF(COUNTIF('Survey 1 Papers'!$D:$D,D9)&gt;0,"Shared with S1","Unique")</f>
        <v>Shared with S1</v>
      </c>
    </row>
    <row r="10" spans="1:21" x14ac:dyDescent="0.35">
      <c r="A10" s="14" t="s">
        <v>286</v>
      </c>
      <c r="B10" t="s">
        <v>293</v>
      </c>
      <c r="C10">
        <v>2022</v>
      </c>
      <c r="D10" s="8" t="s">
        <v>299</v>
      </c>
      <c r="E10" t="s">
        <v>300</v>
      </c>
      <c r="F10" t="s">
        <v>301</v>
      </c>
      <c r="G10" t="s">
        <v>302</v>
      </c>
      <c r="H10" t="s">
        <v>303</v>
      </c>
      <c r="I10" t="s">
        <v>225</v>
      </c>
      <c r="J10" t="s">
        <v>282</v>
      </c>
      <c r="K10" t="s">
        <v>283</v>
      </c>
      <c r="L10" t="s">
        <v>284</v>
      </c>
      <c r="M10" t="s">
        <v>285</v>
      </c>
      <c r="N10" t="s">
        <v>233</v>
      </c>
      <c r="O10" s="4" t="s">
        <v>480</v>
      </c>
      <c r="P10" t="s">
        <v>573</v>
      </c>
      <c r="Q10" t="s">
        <v>569</v>
      </c>
      <c r="R10" s="4"/>
      <c r="S10" t="s">
        <v>2203</v>
      </c>
      <c r="U10" t="str">
        <f>IF(COUNTIF('Survey 1 Papers'!$D:$D,D10)&gt;0,"Shared with S1","Unique")</f>
        <v>Shared with S1</v>
      </c>
    </row>
    <row r="11" spans="1:21" x14ac:dyDescent="0.35">
      <c r="A11" s="14" t="s">
        <v>286</v>
      </c>
      <c r="B11" t="s">
        <v>304</v>
      </c>
      <c r="C11">
        <v>2015</v>
      </c>
      <c r="D11" s="10" t="s">
        <v>305</v>
      </c>
      <c r="E11" t="s">
        <v>306</v>
      </c>
      <c r="F11" t="s">
        <v>307</v>
      </c>
      <c r="G11" t="s">
        <v>308</v>
      </c>
      <c r="H11" t="s">
        <v>309</v>
      </c>
      <c r="I11" t="s">
        <v>226</v>
      </c>
      <c r="J11" t="s">
        <v>282</v>
      </c>
      <c r="K11" t="s">
        <v>283</v>
      </c>
      <c r="L11" t="s">
        <v>238</v>
      </c>
      <c r="M11" t="s">
        <v>275</v>
      </c>
      <c r="N11" t="s">
        <v>233</v>
      </c>
      <c r="O11" s="4" t="s">
        <v>481</v>
      </c>
      <c r="P11" t="s">
        <v>573</v>
      </c>
      <c r="Q11" t="s">
        <v>569</v>
      </c>
      <c r="R11" s="4"/>
      <c r="S11" t="s">
        <v>2204</v>
      </c>
      <c r="U11" t="str">
        <f>IF(COUNTIF('Survey 1 Papers'!$D:$D,D11)&gt;0,"Shared with S1","Unique")</f>
        <v>Unique</v>
      </c>
    </row>
    <row r="12" spans="1:21" ht="29" x14ac:dyDescent="0.35">
      <c r="A12" s="14" t="s">
        <v>286</v>
      </c>
      <c r="B12" t="s">
        <v>310</v>
      </c>
      <c r="C12">
        <v>2011</v>
      </c>
      <c r="D12" s="8" t="s">
        <v>311</v>
      </c>
      <c r="E12" t="s">
        <v>312</v>
      </c>
      <c r="F12" t="s">
        <v>313</v>
      </c>
      <c r="G12" t="s">
        <v>314</v>
      </c>
      <c r="H12" t="s">
        <v>315</v>
      </c>
      <c r="I12" t="s">
        <v>226</v>
      </c>
      <c r="J12" t="s">
        <v>282</v>
      </c>
      <c r="K12" t="s">
        <v>283</v>
      </c>
      <c r="L12" t="s">
        <v>316</v>
      </c>
      <c r="M12" t="s">
        <v>275</v>
      </c>
      <c r="N12" t="s">
        <v>482</v>
      </c>
      <c r="O12" s="4" t="s">
        <v>483</v>
      </c>
      <c r="P12" t="s">
        <v>573</v>
      </c>
      <c r="Q12" t="s">
        <v>569</v>
      </c>
      <c r="R12" s="4"/>
      <c r="S12" t="s">
        <v>2205</v>
      </c>
      <c r="U12" t="str">
        <f>IF(COUNTIF('Survey 1 Papers'!$D:$D,D12)&gt;0,"Shared with S1","Unique")</f>
        <v>Unique</v>
      </c>
    </row>
    <row r="13" spans="1:21" x14ac:dyDescent="0.35">
      <c r="A13" s="14" t="s">
        <v>286</v>
      </c>
      <c r="B13" t="s">
        <v>317</v>
      </c>
      <c r="C13">
        <v>2013</v>
      </c>
      <c r="D13" s="8" t="s">
        <v>318</v>
      </c>
      <c r="E13" t="s">
        <v>319</v>
      </c>
      <c r="F13" t="s">
        <v>320</v>
      </c>
      <c r="G13" t="s">
        <v>174</v>
      </c>
      <c r="H13" t="s">
        <v>321</v>
      </c>
      <c r="I13" t="s">
        <v>226</v>
      </c>
      <c r="J13" t="s">
        <v>282</v>
      </c>
      <c r="K13" t="s">
        <v>283</v>
      </c>
      <c r="L13" t="s">
        <v>284</v>
      </c>
      <c r="M13" t="s">
        <v>285</v>
      </c>
      <c r="N13" t="s">
        <v>484</v>
      </c>
      <c r="O13" s="4" t="s">
        <v>485</v>
      </c>
      <c r="P13" t="s">
        <v>573</v>
      </c>
      <c r="Q13" t="s">
        <v>569</v>
      </c>
      <c r="R13" s="4"/>
      <c r="S13" t="s">
        <v>2206</v>
      </c>
      <c r="U13" t="str">
        <f>IF(COUNTIF('Survey 1 Papers'!$D:$D,D13)&gt;0,"Shared with S1","Unique")</f>
        <v>Unique</v>
      </c>
    </row>
    <row r="14" spans="1:21" x14ac:dyDescent="0.35">
      <c r="A14" s="14" t="s">
        <v>286</v>
      </c>
      <c r="B14" t="s">
        <v>322</v>
      </c>
      <c r="C14">
        <v>2009</v>
      </c>
      <c r="D14" s="8" t="s">
        <v>323</v>
      </c>
      <c r="E14" t="s">
        <v>324</v>
      </c>
      <c r="F14" t="s">
        <v>325</v>
      </c>
      <c r="G14" t="s">
        <v>174</v>
      </c>
      <c r="H14" t="s">
        <v>326</v>
      </c>
      <c r="I14" t="s">
        <v>227</v>
      </c>
      <c r="J14" t="s">
        <v>282</v>
      </c>
      <c r="K14" t="s">
        <v>283</v>
      </c>
      <c r="L14" t="s">
        <v>238</v>
      </c>
      <c r="M14" t="s">
        <v>272</v>
      </c>
      <c r="N14" t="s">
        <v>240</v>
      </c>
      <c r="O14" s="4" t="s">
        <v>486</v>
      </c>
      <c r="P14" t="s">
        <v>573</v>
      </c>
      <c r="Q14" t="s">
        <v>569</v>
      </c>
      <c r="R14" s="4"/>
      <c r="S14" t="s">
        <v>2207</v>
      </c>
      <c r="U14" t="str">
        <f>IF(COUNTIF('Survey 1 Papers'!$D:$D,D14)&gt;0,"Shared with S1","Unique")</f>
        <v>Unique</v>
      </c>
    </row>
    <row r="15" spans="1:21" x14ac:dyDescent="0.35">
      <c r="A15" s="14" t="s">
        <v>286</v>
      </c>
      <c r="B15" t="s">
        <v>327</v>
      </c>
      <c r="C15">
        <v>2010</v>
      </c>
      <c r="D15" s="10" t="s">
        <v>328</v>
      </c>
      <c r="E15" t="s">
        <v>329</v>
      </c>
      <c r="F15" t="s">
        <v>330</v>
      </c>
      <c r="G15" t="s">
        <v>291</v>
      </c>
      <c r="H15" t="s">
        <v>331</v>
      </c>
      <c r="I15" t="s">
        <v>227</v>
      </c>
      <c r="J15" t="s">
        <v>282</v>
      </c>
      <c r="K15" t="s">
        <v>283</v>
      </c>
      <c r="L15" t="s">
        <v>238</v>
      </c>
      <c r="M15" t="s">
        <v>272</v>
      </c>
      <c r="N15" t="s">
        <v>476</v>
      </c>
      <c r="O15" s="4" t="s">
        <v>487</v>
      </c>
      <c r="P15" t="s">
        <v>573</v>
      </c>
      <c r="Q15" t="s">
        <v>569</v>
      </c>
      <c r="R15" s="4"/>
      <c r="S15" t="s">
        <v>2208</v>
      </c>
      <c r="U15" t="str">
        <f>IF(COUNTIF('Survey 1 Papers'!$D:$D,D15)&gt;0,"Shared with S1","Unique")</f>
        <v>Unique</v>
      </c>
    </row>
    <row r="16" spans="1:21" ht="29" x14ac:dyDescent="0.35">
      <c r="A16" s="14" t="s">
        <v>332</v>
      </c>
      <c r="B16" t="s">
        <v>333</v>
      </c>
      <c r="C16">
        <v>2024</v>
      </c>
      <c r="D16" s="10" t="s">
        <v>334</v>
      </c>
      <c r="E16" t="s">
        <v>335</v>
      </c>
      <c r="F16" t="s">
        <v>336</v>
      </c>
      <c r="G16" t="s">
        <v>174</v>
      </c>
      <c r="H16" t="s">
        <v>337</v>
      </c>
      <c r="I16" t="s">
        <v>225</v>
      </c>
      <c r="J16" t="s">
        <v>273</v>
      </c>
      <c r="K16" t="s">
        <v>283</v>
      </c>
      <c r="L16" t="s">
        <v>238</v>
      </c>
      <c r="M16" t="s">
        <v>285</v>
      </c>
      <c r="N16" t="s">
        <v>238</v>
      </c>
      <c r="O16" s="4" t="s">
        <v>488</v>
      </c>
      <c r="P16" t="s">
        <v>576</v>
      </c>
      <c r="Q16" t="s">
        <v>569</v>
      </c>
      <c r="R16" s="4"/>
      <c r="S16" t="s">
        <v>2209</v>
      </c>
      <c r="U16" t="str">
        <f>IF(COUNTIF('Survey 1 Papers'!$D:$D,D16)&gt;0,"Shared with S1","Unique")</f>
        <v>Shared with S1</v>
      </c>
    </row>
    <row r="17" spans="1:21" x14ac:dyDescent="0.35">
      <c r="A17" s="14" t="s">
        <v>332</v>
      </c>
      <c r="B17" t="s">
        <v>338</v>
      </c>
      <c r="C17">
        <v>2023</v>
      </c>
      <c r="D17" s="8" t="s">
        <v>339</v>
      </c>
      <c r="E17" t="s">
        <v>340</v>
      </c>
      <c r="F17" t="s">
        <v>341</v>
      </c>
      <c r="G17" t="s">
        <v>174</v>
      </c>
      <c r="H17" t="s">
        <v>342</v>
      </c>
      <c r="I17" t="s">
        <v>225</v>
      </c>
      <c r="J17" t="s">
        <v>282</v>
      </c>
      <c r="K17" t="s">
        <v>271</v>
      </c>
      <c r="L17" t="s">
        <v>284</v>
      </c>
      <c r="M17" t="s">
        <v>285</v>
      </c>
      <c r="N17" t="s">
        <v>255</v>
      </c>
      <c r="O17" s="4" t="s">
        <v>489</v>
      </c>
      <c r="P17" t="s">
        <v>573</v>
      </c>
      <c r="Q17" t="s">
        <v>569</v>
      </c>
      <c r="R17" s="4"/>
      <c r="S17" t="s">
        <v>2210</v>
      </c>
      <c r="U17" t="str">
        <f>IF(COUNTIF('Survey 1 Papers'!$D:$D,D17)&gt;0,"Shared with S1","Unique")</f>
        <v>Shared with S1</v>
      </c>
    </row>
    <row r="18" spans="1:21" x14ac:dyDescent="0.35">
      <c r="A18" s="14" t="s">
        <v>332</v>
      </c>
      <c r="B18" t="s">
        <v>343</v>
      </c>
      <c r="C18">
        <v>2021</v>
      </c>
      <c r="D18" s="8" t="s">
        <v>344</v>
      </c>
      <c r="E18" t="s">
        <v>345</v>
      </c>
      <c r="F18" t="s">
        <v>346</v>
      </c>
      <c r="G18" t="s">
        <v>174</v>
      </c>
      <c r="H18" t="s">
        <v>347</v>
      </c>
      <c r="I18" t="s">
        <v>226</v>
      </c>
      <c r="J18" t="s">
        <v>282</v>
      </c>
      <c r="K18" t="s">
        <v>283</v>
      </c>
      <c r="L18" t="s">
        <v>284</v>
      </c>
      <c r="M18" t="s">
        <v>285</v>
      </c>
      <c r="N18" t="s">
        <v>490</v>
      </c>
      <c r="O18" s="4" t="s">
        <v>491</v>
      </c>
      <c r="P18" t="s">
        <v>573</v>
      </c>
      <c r="Q18" t="s">
        <v>569</v>
      </c>
      <c r="R18" s="4"/>
      <c r="S18" t="s">
        <v>2211</v>
      </c>
      <c r="U18" t="str">
        <f>IF(COUNTIF('Survey 1 Papers'!$D:$D,D18)&gt;0,"Shared with S1","Unique")</f>
        <v>Shared with S1</v>
      </c>
    </row>
    <row r="19" spans="1:21" x14ac:dyDescent="0.35">
      <c r="A19" s="14" t="s">
        <v>332</v>
      </c>
      <c r="B19" t="s">
        <v>348</v>
      </c>
      <c r="C19">
        <v>2025</v>
      </c>
      <c r="D19" s="8" t="s">
        <v>349</v>
      </c>
      <c r="E19" t="s">
        <v>350</v>
      </c>
      <c r="F19" t="s">
        <v>351</v>
      </c>
      <c r="G19" t="s">
        <v>174</v>
      </c>
      <c r="H19" t="s">
        <v>352</v>
      </c>
      <c r="I19" t="s">
        <v>226</v>
      </c>
      <c r="J19" t="s">
        <v>282</v>
      </c>
      <c r="K19" t="s">
        <v>271</v>
      </c>
      <c r="L19" t="s">
        <v>284</v>
      </c>
      <c r="M19" t="s">
        <v>285</v>
      </c>
      <c r="N19" t="s">
        <v>492</v>
      </c>
      <c r="O19" s="4" t="s">
        <v>493</v>
      </c>
      <c r="P19" t="s">
        <v>573</v>
      </c>
      <c r="Q19" t="s">
        <v>569</v>
      </c>
      <c r="R19" s="4"/>
      <c r="S19" t="s">
        <v>2212</v>
      </c>
      <c r="U19" t="str">
        <f>IF(COUNTIF('Survey 1 Papers'!$D:$D,D19)&gt;0,"Shared with S1","Unique")</f>
        <v>Shared with S1</v>
      </c>
    </row>
    <row r="20" spans="1:21" x14ac:dyDescent="0.35">
      <c r="A20" s="14" t="s">
        <v>332</v>
      </c>
      <c r="B20" t="s">
        <v>353</v>
      </c>
      <c r="C20">
        <v>2025</v>
      </c>
      <c r="D20" s="8" t="s">
        <v>354</v>
      </c>
      <c r="E20" t="s">
        <v>355</v>
      </c>
      <c r="F20" t="s">
        <v>356</v>
      </c>
      <c r="G20" t="s">
        <v>174</v>
      </c>
      <c r="H20" t="s">
        <v>357</v>
      </c>
      <c r="I20" t="s">
        <v>227</v>
      </c>
      <c r="J20" t="s">
        <v>282</v>
      </c>
      <c r="K20" t="s">
        <v>271</v>
      </c>
      <c r="L20" t="s">
        <v>284</v>
      </c>
      <c r="M20" t="s">
        <v>275</v>
      </c>
      <c r="N20" t="s">
        <v>494</v>
      </c>
      <c r="O20" s="4" t="s">
        <v>495</v>
      </c>
      <c r="P20" t="s">
        <v>573</v>
      </c>
      <c r="Q20" t="s">
        <v>569</v>
      </c>
      <c r="R20" s="4"/>
      <c r="S20" t="s">
        <v>2212</v>
      </c>
      <c r="T20" t="s">
        <v>2190</v>
      </c>
      <c r="U20" t="str">
        <f>IF(COUNTIF('Survey 1 Papers'!$D:$D,D20)&gt;0,"Shared with S1","Unique")</f>
        <v>Unique</v>
      </c>
    </row>
    <row r="21" spans="1:21" x14ac:dyDescent="0.35">
      <c r="A21" s="14" t="s">
        <v>332</v>
      </c>
      <c r="B21" t="s">
        <v>358</v>
      </c>
      <c r="C21">
        <v>2017</v>
      </c>
      <c r="D21" s="8" t="s">
        <v>359</v>
      </c>
      <c r="E21" t="s">
        <v>360</v>
      </c>
      <c r="F21" t="s">
        <v>361</v>
      </c>
      <c r="G21" t="s">
        <v>174</v>
      </c>
      <c r="H21" t="s">
        <v>362</v>
      </c>
      <c r="I21" t="s">
        <v>227</v>
      </c>
      <c r="J21" t="s">
        <v>282</v>
      </c>
      <c r="K21" t="s">
        <v>283</v>
      </c>
      <c r="L21" t="s">
        <v>284</v>
      </c>
      <c r="M21" t="s">
        <v>275</v>
      </c>
      <c r="N21" t="s">
        <v>496</v>
      </c>
      <c r="O21" s="4" t="s">
        <v>497</v>
      </c>
      <c r="P21" t="s">
        <v>573</v>
      </c>
      <c r="Q21" t="s">
        <v>569</v>
      </c>
      <c r="R21" s="4"/>
      <c r="S21" t="s">
        <v>2213</v>
      </c>
      <c r="U21" t="str">
        <f>IF(COUNTIF('Survey 1 Papers'!$D:$D,D21)&gt;0,"Shared with S1","Unique")</f>
        <v>Unique</v>
      </c>
    </row>
    <row r="22" spans="1:21" x14ac:dyDescent="0.35">
      <c r="A22" s="14" t="s">
        <v>404</v>
      </c>
      <c r="B22" t="s">
        <v>405</v>
      </c>
      <c r="C22">
        <v>2018</v>
      </c>
      <c r="D22" s="8" t="s">
        <v>406</v>
      </c>
      <c r="E22" t="s">
        <v>407</v>
      </c>
      <c r="F22" t="s">
        <v>408</v>
      </c>
      <c r="G22" t="s">
        <v>409</v>
      </c>
      <c r="H22" t="s">
        <v>410</v>
      </c>
      <c r="I22" t="s">
        <v>225</v>
      </c>
      <c r="J22" t="s">
        <v>276</v>
      </c>
      <c r="K22" t="s">
        <v>271</v>
      </c>
      <c r="L22" t="s">
        <v>284</v>
      </c>
      <c r="M22" t="s">
        <v>285</v>
      </c>
      <c r="N22" t="s">
        <v>233</v>
      </c>
      <c r="O22" s="4" t="s">
        <v>498</v>
      </c>
      <c r="P22" t="s">
        <v>571</v>
      </c>
      <c r="Q22" t="s">
        <v>569</v>
      </c>
      <c r="R22" s="4"/>
      <c r="S22" t="s">
        <v>2195</v>
      </c>
      <c r="U22" t="str">
        <f>IF(COUNTIF('Survey 1 Papers'!$D:$D,D22)&gt;0,"Shared with S1","Unique")</f>
        <v>Shared with S1</v>
      </c>
    </row>
    <row r="23" spans="1:21" x14ac:dyDescent="0.35">
      <c r="A23" s="14" t="s">
        <v>404</v>
      </c>
      <c r="B23" t="s">
        <v>411</v>
      </c>
      <c r="C23">
        <v>2014</v>
      </c>
      <c r="D23" s="8" t="s">
        <v>412</v>
      </c>
      <c r="E23" t="s">
        <v>413</v>
      </c>
      <c r="F23" t="s">
        <v>414</v>
      </c>
      <c r="G23" t="s">
        <v>174</v>
      </c>
      <c r="H23" t="s">
        <v>415</v>
      </c>
      <c r="I23" t="s">
        <v>225</v>
      </c>
      <c r="J23" t="s">
        <v>276</v>
      </c>
      <c r="K23" t="s">
        <v>271</v>
      </c>
      <c r="L23" t="s">
        <v>284</v>
      </c>
      <c r="M23" t="s">
        <v>285</v>
      </c>
      <c r="N23" t="s">
        <v>240</v>
      </c>
      <c r="O23" s="4" t="s">
        <v>499</v>
      </c>
      <c r="P23" t="s">
        <v>571</v>
      </c>
      <c r="Q23" t="s">
        <v>569</v>
      </c>
      <c r="R23" s="4"/>
      <c r="S23" t="s">
        <v>2214</v>
      </c>
      <c r="U23" t="str">
        <f>IF(COUNTIF('Survey 1 Papers'!$D:$D,D23)&gt;0,"Shared with S1","Unique")</f>
        <v>Shared with S1</v>
      </c>
    </row>
    <row r="24" spans="1:21" x14ac:dyDescent="0.35">
      <c r="A24" s="14" t="s">
        <v>404</v>
      </c>
      <c r="B24" t="s">
        <v>416</v>
      </c>
      <c r="C24">
        <v>2012</v>
      </c>
      <c r="D24" s="8" t="s">
        <v>417</v>
      </c>
      <c r="E24" t="s">
        <v>418</v>
      </c>
      <c r="F24" t="s">
        <v>419</v>
      </c>
      <c r="G24" t="s">
        <v>174</v>
      </c>
      <c r="H24" t="s">
        <v>420</v>
      </c>
      <c r="I24" t="s">
        <v>225</v>
      </c>
      <c r="J24" t="s">
        <v>282</v>
      </c>
      <c r="K24" t="s">
        <v>283</v>
      </c>
      <c r="L24" t="s">
        <v>284</v>
      </c>
      <c r="M24" t="s">
        <v>285</v>
      </c>
      <c r="N24" t="s">
        <v>496</v>
      </c>
      <c r="O24" s="4" t="s">
        <v>500</v>
      </c>
      <c r="P24" t="s">
        <v>577</v>
      </c>
      <c r="Q24" t="s">
        <v>569</v>
      </c>
      <c r="R24" s="4"/>
      <c r="S24" t="s">
        <v>2215</v>
      </c>
      <c r="U24" t="str">
        <f>IF(COUNTIF('Survey 1 Papers'!$D:$D,D24)&gt;0,"Shared with S1","Unique")</f>
        <v>Shared with S1</v>
      </c>
    </row>
    <row r="25" spans="1:21" x14ac:dyDescent="0.35">
      <c r="A25" s="14" t="s">
        <v>404</v>
      </c>
      <c r="B25" t="s">
        <v>421</v>
      </c>
      <c r="C25">
        <v>2008</v>
      </c>
      <c r="D25" s="8" t="s">
        <v>422</v>
      </c>
      <c r="E25" t="s">
        <v>423</v>
      </c>
      <c r="F25" t="s">
        <v>424</v>
      </c>
      <c r="G25" t="s">
        <v>175</v>
      </c>
      <c r="H25" t="s">
        <v>425</v>
      </c>
      <c r="I25" t="s">
        <v>226</v>
      </c>
      <c r="J25" t="s">
        <v>276</v>
      </c>
      <c r="K25" t="s">
        <v>283</v>
      </c>
      <c r="L25" t="s">
        <v>284</v>
      </c>
      <c r="M25" t="s">
        <v>285</v>
      </c>
      <c r="N25" t="s">
        <v>229</v>
      </c>
      <c r="O25" s="4" t="s">
        <v>501</v>
      </c>
      <c r="P25" t="s">
        <v>571</v>
      </c>
      <c r="Q25" t="s">
        <v>569</v>
      </c>
      <c r="R25" s="4"/>
      <c r="S25" t="s">
        <v>2215</v>
      </c>
      <c r="U25" t="str">
        <f>IF(COUNTIF('Survey 1 Papers'!$D:$D,D25)&gt;0,"Shared with S1","Unique")</f>
        <v>Shared with S1</v>
      </c>
    </row>
    <row r="26" spans="1:21" x14ac:dyDescent="0.35">
      <c r="A26" s="14" t="s">
        <v>404</v>
      </c>
      <c r="B26" t="s">
        <v>426</v>
      </c>
      <c r="C26">
        <v>2022</v>
      </c>
      <c r="D26" s="8" t="s">
        <v>427</v>
      </c>
      <c r="E26" t="s">
        <v>428</v>
      </c>
      <c r="F26" t="s">
        <v>429</v>
      </c>
      <c r="G26" t="s">
        <v>183</v>
      </c>
      <c r="H26" t="s">
        <v>430</v>
      </c>
      <c r="I26" t="s">
        <v>226</v>
      </c>
      <c r="J26" t="s">
        <v>276</v>
      </c>
      <c r="K26" t="s">
        <v>271</v>
      </c>
      <c r="L26" t="s">
        <v>284</v>
      </c>
      <c r="M26" t="s">
        <v>285</v>
      </c>
      <c r="N26" t="s">
        <v>502</v>
      </c>
      <c r="O26" s="4" t="s">
        <v>503</v>
      </c>
      <c r="P26" t="s">
        <v>571</v>
      </c>
      <c r="Q26" t="s">
        <v>569</v>
      </c>
      <c r="R26" s="4"/>
      <c r="S26" t="s">
        <v>2216</v>
      </c>
      <c r="U26" t="str">
        <f>IF(COUNTIF('Survey 1 Papers'!$D:$D,D26)&gt;0,"Shared with S1","Unique")</f>
        <v>Shared with S1</v>
      </c>
    </row>
    <row r="27" spans="1:21" x14ac:dyDescent="0.35">
      <c r="A27" s="14" t="s">
        <v>18</v>
      </c>
      <c r="B27" t="s">
        <v>453</v>
      </c>
      <c r="C27">
        <v>2006</v>
      </c>
      <c r="D27" s="8" t="s">
        <v>454</v>
      </c>
      <c r="E27" t="s">
        <v>455</v>
      </c>
      <c r="F27" t="s">
        <v>456</v>
      </c>
      <c r="G27" t="s">
        <v>297</v>
      </c>
      <c r="H27" t="s">
        <v>457</v>
      </c>
      <c r="I27" t="s">
        <v>227</v>
      </c>
      <c r="J27" t="s">
        <v>273</v>
      </c>
      <c r="K27" t="s">
        <v>283</v>
      </c>
      <c r="L27" t="s">
        <v>238</v>
      </c>
      <c r="M27" t="s">
        <v>275</v>
      </c>
      <c r="N27" t="s">
        <v>509</v>
      </c>
      <c r="O27" s="4" t="s">
        <v>510</v>
      </c>
      <c r="P27" t="s">
        <v>576</v>
      </c>
      <c r="Q27" t="s">
        <v>569</v>
      </c>
      <c r="R27" s="4"/>
      <c r="S27" t="s">
        <v>2217</v>
      </c>
      <c r="U27" t="str">
        <f>IF(COUNTIF('Survey 1 Papers'!$D:$D,D27)&gt;0,"Shared with S1","Unique")</f>
        <v>Shared with S1</v>
      </c>
    </row>
    <row r="28" spans="1:21" x14ac:dyDescent="0.35">
      <c r="A28" s="14" t="s">
        <v>404</v>
      </c>
      <c r="B28" t="s">
        <v>524</v>
      </c>
      <c r="C28">
        <v>2022</v>
      </c>
      <c r="D28" s="8" t="s">
        <v>525</v>
      </c>
      <c r="E28" t="s">
        <v>526</v>
      </c>
      <c r="F28" t="s">
        <v>527</v>
      </c>
      <c r="G28" t="s">
        <v>174</v>
      </c>
      <c r="H28" t="s">
        <v>528</v>
      </c>
      <c r="I28" t="s">
        <v>225</v>
      </c>
      <c r="J28" t="s">
        <v>276</v>
      </c>
      <c r="K28" t="s">
        <v>271</v>
      </c>
      <c r="L28" t="s">
        <v>284</v>
      </c>
      <c r="M28" t="s">
        <v>285</v>
      </c>
      <c r="N28" t="s">
        <v>255</v>
      </c>
      <c r="O28" s="4" t="s">
        <v>529</v>
      </c>
      <c r="P28" t="s">
        <v>571</v>
      </c>
      <c r="Q28" t="s">
        <v>569</v>
      </c>
      <c r="R28" s="4"/>
      <c r="S28" t="s">
        <v>2218</v>
      </c>
      <c r="U28" t="str">
        <f>IF(COUNTIF('Survey 1 Papers'!$D:$D,D28)&gt;0,"Shared with S1","Unique")</f>
        <v>Shared with S1</v>
      </c>
    </row>
    <row r="29" spans="1:21" ht="29" x14ac:dyDescent="0.35">
      <c r="A29" s="14" t="s">
        <v>404</v>
      </c>
      <c r="B29" t="s">
        <v>530</v>
      </c>
      <c r="C29">
        <v>2021</v>
      </c>
      <c r="D29" s="8" t="s">
        <v>531</v>
      </c>
      <c r="E29" t="s">
        <v>532</v>
      </c>
      <c r="F29" t="s">
        <v>533</v>
      </c>
      <c r="G29" t="s">
        <v>534</v>
      </c>
      <c r="H29" t="s">
        <v>535</v>
      </c>
      <c r="I29" t="s">
        <v>226</v>
      </c>
      <c r="J29" t="s">
        <v>276</v>
      </c>
      <c r="K29" t="s">
        <v>271</v>
      </c>
      <c r="L29" t="s">
        <v>284</v>
      </c>
      <c r="M29" t="s">
        <v>285</v>
      </c>
      <c r="N29" t="s">
        <v>234</v>
      </c>
      <c r="O29" s="4" t="s">
        <v>536</v>
      </c>
      <c r="P29" t="s">
        <v>571</v>
      </c>
      <c r="Q29" t="s">
        <v>569</v>
      </c>
      <c r="R29" s="4"/>
      <c r="S29" t="s">
        <v>2214</v>
      </c>
      <c r="U29" t="str">
        <f>IF(COUNTIF('Survey 1 Papers'!$D:$D,D29)&gt;0,"Shared with S1","Unique")</f>
        <v>Shared with S1</v>
      </c>
    </row>
    <row r="30" spans="1:21" x14ac:dyDescent="0.35">
      <c r="A30" s="14" t="s">
        <v>10</v>
      </c>
      <c r="B30" t="s">
        <v>603</v>
      </c>
      <c r="C30">
        <v>2015</v>
      </c>
      <c r="D30" s="15" t="s">
        <v>604</v>
      </c>
      <c r="E30" t="s">
        <v>605</v>
      </c>
      <c r="F30" t="s">
        <v>836</v>
      </c>
      <c r="G30" t="s">
        <v>583</v>
      </c>
      <c r="I30" t="s">
        <v>226</v>
      </c>
      <c r="J30" t="s">
        <v>273</v>
      </c>
      <c r="K30" t="s">
        <v>271</v>
      </c>
      <c r="L30" t="s">
        <v>284</v>
      </c>
      <c r="M30" t="s">
        <v>275</v>
      </c>
      <c r="N30" t="s">
        <v>898</v>
      </c>
      <c r="O30" t="s">
        <v>916</v>
      </c>
      <c r="P30" t="s">
        <v>575</v>
      </c>
      <c r="Q30" t="s">
        <v>569</v>
      </c>
      <c r="R30" t="s">
        <v>984</v>
      </c>
      <c r="S30" t="s">
        <v>2219</v>
      </c>
      <c r="U30" t="str">
        <f>IF(COUNTIF('Survey 1 Papers'!$D:$D,D30)&gt;0,"Shared with S1","Unique")</f>
        <v>Shared with S1</v>
      </c>
    </row>
    <row r="31" spans="1:21" x14ac:dyDescent="0.35">
      <c r="A31" s="14" t="s">
        <v>286</v>
      </c>
      <c r="B31" t="s">
        <v>606</v>
      </c>
      <c r="C31">
        <v>2014</v>
      </c>
      <c r="D31" s="8" t="s">
        <v>607</v>
      </c>
      <c r="E31" t="s">
        <v>608</v>
      </c>
      <c r="F31" t="s">
        <v>837</v>
      </c>
      <c r="G31" t="s">
        <v>174</v>
      </c>
      <c r="I31" t="s">
        <v>225</v>
      </c>
      <c r="J31" t="s">
        <v>282</v>
      </c>
      <c r="K31" t="s">
        <v>283</v>
      </c>
      <c r="L31" t="s">
        <v>284</v>
      </c>
      <c r="M31" t="s">
        <v>285</v>
      </c>
      <c r="N31" t="s">
        <v>899</v>
      </c>
      <c r="O31" t="s">
        <v>917</v>
      </c>
      <c r="P31" t="s">
        <v>573</v>
      </c>
      <c r="Q31" t="s">
        <v>569</v>
      </c>
      <c r="R31" t="s">
        <v>985</v>
      </c>
      <c r="S31" t="s">
        <v>2220</v>
      </c>
      <c r="U31" t="str">
        <f>IF(COUNTIF('Survey 1 Papers'!$D:$D,D31)&gt;0,"Shared with S1","Unique")</f>
        <v>Unique</v>
      </c>
    </row>
    <row r="32" spans="1:21" x14ac:dyDescent="0.35">
      <c r="A32" s="14" t="s">
        <v>286</v>
      </c>
      <c r="B32" t="s">
        <v>609</v>
      </c>
      <c r="C32">
        <v>2011</v>
      </c>
      <c r="D32" s="8" t="s">
        <v>610</v>
      </c>
      <c r="E32" t="s">
        <v>611</v>
      </c>
      <c r="F32" t="s">
        <v>838</v>
      </c>
      <c r="G32" t="s">
        <v>174</v>
      </c>
      <c r="I32" t="s">
        <v>225</v>
      </c>
      <c r="J32" t="s">
        <v>282</v>
      </c>
      <c r="K32" t="s">
        <v>283</v>
      </c>
      <c r="L32" t="s">
        <v>284</v>
      </c>
      <c r="M32" t="s">
        <v>285</v>
      </c>
      <c r="N32" t="s">
        <v>482</v>
      </c>
      <c r="O32" t="s">
        <v>918</v>
      </c>
      <c r="P32" t="s">
        <v>573</v>
      </c>
      <c r="Q32" t="s">
        <v>569</v>
      </c>
      <c r="R32" t="s">
        <v>986</v>
      </c>
      <c r="S32" t="s">
        <v>2220</v>
      </c>
      <c r="U32" t="str">
        <f>IF(COUNTIF('Survey 1 Papers'!$D:$D,D32)&gt;0,"Shared with S1","Unique")</f>
        <v>Unique</v>
      </c>
    </row>
    <row r="33" spans="1:21" x14ac:dyDescent="0.35">
      <c r="A33" s="14" t="s">
        <v>286</v>
      </c>
      <c r="B33" t="s">
        <v>293</v>
      </c>
      <c r="C33">
        <v>2009</v>
      </c>
      <c r="D33" s="8" t="s">
        <v>612</v>
      </c>
      <c r="E33" t="s">
        <v>613</v>
      </c>
      <c r="F33" t="s">
        <v>839</v>
      </c>
      <c r="G33" t="s">
        <v>174</v>
      </c>
      <c r="I33" t="s">
        <v>225</v>
      </c>
      <c r="J33" t="s">
        <v>282</v>
      </c>
      <c r="K33" t="s">
        <v>283</v>
      </c>
      <c r="L33" t="s">
        <v>284</v>
      </c>
      <c r="M33" t="s">
        <v>285</v>
      </c>
      <c r="N33" t="s">
        <v>482</v>
      </c>
      <c r="O33" t="s">
        <v>919</v>
      </c>
      <c r="P33" t="s">
        <v>573</v>
      </c>
      <c r="Q33" t="s">
        <v>569</v>
      </c>
      <c r="R33" t="s">
        <v>987</v>
      </c>
      <c r="S33" t="s">
        <v>2221</v>
      </c>
      <c r="U33" t="str">
        <f>IF(COUNTIF('Survey 1 Papers'!$D:$D,D33)&gt;0,"Shared with S1","Unique")</f>
        <v>Unique</v>
      </c>
    </row>
    <row r="34" spans="1:21" x14ac:dyDescent="0.35">
      <c r="A34" s="14" t="s">
        <v>286</v>
      </c>
      <c r="B34" t="s">
        <v>614</v>
      </c>
      <c r="C34">
        <v>2011</v>
      </c>
      <c r="D34" s="8" t="s">
        <v>615</v>
      </c>
      <c r="E34" t="s">
        <v>616</v>
      </c>
      <c r="F34" t="s">
        <v>840</v>
      </c>
      <c r="G34" t="s">
        <v>174</v>
      </c>
      <c r="I34" t="s">
        <v>226</v>
      </c>
      <c r="J34" t="s">
        <v>282</v>
      </c>
      <c r="K34" t="s">
        <v>283</v>
      </c>
      <c r="L34" t="s">
        <v>284</v>
      </c>
      <c r="M34" t="s">
        <v>275</v>
      </c>
      <c r="N34" t="s">
        <v>900</v>
      </c>
      <c r="O34" t="s">
        <v>920</v>
      </c>
      <c r="P34" t="s">
        <v>573</v>
      </c>
      <c r="Q34" t="s">
        <v>569</v>
      </c>
      <c r="R34" t="s">
        <v>988</v>
      </c>
      <c r="S34" t="s">
        <v>2222</v>
      </c>
      <c r="U34" t="str">
        <f>IF(COUNTIF('Survey 1 Papers'!$D:$D,D34)&gt;0,"Shared with S1","Unique")</f>
        <v>Unique</v>
      </c>
    </row>
    <row r="35" spans="1:21" x14ac:dyDescent="0.35">
      <c r="A35" s="14" t="s">
        <v>286</v>
      </c>
      <c r="B35" t="s">
        <v>617</v>
      </c>
      <c r="C35">
        <v>2013</v>
      </c>
      <c r="D35" s="15" t="s">
        <v>618</v>
      </c>
      <c r="E35" t="s">
        <v>619</v>
      </c>
      <c r="F35" t="s">
        <v>841</v>
      </c>
      <c r="G35" t="s">
        <v>583</v>
      </c>
      <c r="I35" t="s">
        <v>226</v>
      </c>
      <c r="J35" t="s">
        <v>282</v>
      </c>
      <c r="K35" t="s">
        <v>283</v>
      </c>
      <c r="L35" t="s">
        <v>284</v>
      </c>
      <c r="M35" t="s">
        <v>275</v>
      </c>
      <c r="N35" t="s">
        <v>240</v>
      </c>
      <c r="O35" t="s">
        <v>921</v>
      </c>
      <c r="P35" t="s">
        <v>573</v>
      </c>
      <c r="Q35" t="s">
        <v>569</v>
      </c>
      <c r="R35" t="s">
        <v>989</v>
      </c>
      <c r="S35" t="s">
        <v>2223</v>
      </c>
      <c r="U35" t="str">
        <f>IF(COUNTIF('Survey 1 Papers'!$D:$D,D35)&gt;0,"Shared with S1","Unique")</f>
        <v>Unique</v>
      </c>
    </row>
    <row r="36" spans="1:21" x14ac:dyDescent="0.35">
      <c r="A36" s="14" t="s">
        <v>286</v>
      </c>
      <c r="B36" t="s">
        <v>620</v>
      </c>
      <c r="C36">
        <v>2017</v>
      </c>
      <c r="D36" s="8" t="s">
        <v>621</v>
      </c>
      <c r="E36" t="s">
        <v>622</v>
      </c>
      <c r="F36" t="s">
        <v>842</v>
      </c>
      <c r="G36" t="s">
        <v>583</v>
      </c>
      <c r="I36" t="s">
        <v>226</v>
      </c>
      <c r="J36" t="s">
        <v>282</v>
      </c>
      <c r="K36" t="s">
        <v>283</v>
      </c>
      <c r="L36" t="s">
        <v>284</v>
      </c>
      <c r="M36" t="s">
        <v>275</v>
      </c>
      <c r="N36" t="s">
        <v>482</v>
      </c>
      <c r="O36" t="s">
        <v>922</v>
      </c>
      <c r="P36" t="s">
        <v>573</v>
      </c>
      <c r="Q36" t="s">
        <v>569</v>
      </c>
      <c r="R36" t="s">
        <v>990</v>
      </c>
      <c r="S36" t="s">
        <v>2224</v>
      </c>
      <c r="U36" t="str">
        <f>IF(COUNTIF('Survey 1 Papers'!$D:$D,D36)&gt;0,"Shared with S1","Unique")</f>
        <v>Unique</v>
      </c>
    </row>
    <row r="37" spans="1:21" x14ac:dyDescent="0.35">
      <c r="A37" s="14" t="s">
        <v>286</v>
      </c>
      <c r="B37" t="s">
        <v>623</v>
      </c>
      <c r="C37">
        <v>2014</v>
      </c>
      <c r="D37" s="8" t="s">
        <v>624</v>
      </c>
      <c r="E37" t="s">
        <v>625</v>
      </c>
      <c r="F37" t="s">
        <v>843</v>
      </c>
      <c r="G37" t="s">
        <v>174</v>
      </c>
      <c r="I37" t="s">
        <v>226</v>
      </c>
      <c r="J37" t="s">
        <v>282</v>
      </c>
      <c r="K37" t="s">
        <v>283</v>
      </c>
      <c r="L37" t="s">
        <v>284</v>
      </c>
      <c r="M37" t="s">
        <v>285</v>
      </c>
      <c r="N37" t="s">
        <v>240</v>
      </c>
      <c r="O37" t="s">
        <v>923</v>
      </c>
      <c r="P37" t="s">
        <v>575</v>
      </c>
      <c r="Q37" t="s">
        <v>569</v>
      </c>
      <c r="R37" t="s">
        <v>991</v>
      </c>
      <c r="S37" t="s">
        <v>2225</v>
      </c>
      <c r="U37" t="str">
        <f>IF(COUNTIF('Survey 1 Papers'!$D:$D,D37)&gt;0,"Shared with S1","Unique")</f>
        <v>Unique</v>
      </c>
    </row>
    <row r="38" spans="1:21" x14ac:dyDescent="0.35">
      <c r="A38" s="14" t="s">
        <v>286</v>
      </c>
      <c r="B38" t="s">
        <v>626</v>
      </c>
      <c r="C38">
        <v>2009</v>
      </c>
      <c r="D38" s="8" t="s">
        <v>627</v>
      </c>
      <c r="E38" t="s">
        <v>628</v>
      </c>
      <c r="F38" t="s">
        <v>844</v>
      </c>
      <c r="G38" t="s">
        <v>583</v>
      </c>
      <c r="I38" t="s">
        <v>226</v>
      </c>
      <c r="J38" t="s">
        <v>282</v>
      </c>
      <c r="K38" t="s">
        <v>283</v>
      </c>
      <c r="L38" t="s">
        <v>284</v>
      </c>
      <c r="M38" t="s">
        <v>275</v>
      </c>
      <c r="N38" t="s">
        <v>901</v>
      </c>
      <c r="O38" t="s">
        <v>924</v>
      </c>
      <c r="P38" t="s">
        <v>573</v>
      </c>
      <c r="Q38" t="s">
        <v>569</v>
      </c>
      <c r="R38" t="s">
        <v>992</v>
      </c>
      <c r="S38" t="s">
        <v>2226</v>
      </c>
      <c r="U38" t="str">
        <f>IF(COUNTIF('Survey 1 Papers'!$D:$D,D38)&gt;0,"Shared with S1","Unique")</f>
        <v>Unique</v>
      </c>
    </row>
    <row r="39" spans="1:21" x14ac:dyDescent="0.35">
      <c r="A39" s="14" t="s">
        <v>286</v>
      </c>
      <c r="B39" t="s">
        <v>629</v>
      </c>
      <c r="C39">
        <v>2016</v>
      </c>
      <c r="D39" s="8" t="s">
        <v>630</v>
      </c>
      <c r="E39" t="s">
        <v>631</v>
      </c>
      <c r="F39" t="s">
        <v>845</v>
      </c>
      <c r="G39" t="s">
        <v>583</v>
      </c>
      <c r="I39" t="s">
        <v>226</v>
      </c>
      <c r="J39" t="s">
        <v>282</v>
      </c>
      <c r="K39" t="s">
        <v>283</v>
      </c>
      <c r="L39" t="s">
        <v>238</v>
      </c>
      <c r="M39" t="s">
        <v>275</v>
      </c>
      <c r="N39" t="s">
        <v>902</v>
      </c>
      <c r="O39" t="s">
        <v>925</v>
      </c>
      <c r="P39" t="s">
        <v>573</v>
      </c>
      <c r="Q39" t="s">
        <v>569</v>
      </c>
      <c r="R39" t="s">
        <v>993</v>
      </c>
      <c r="S39" t="s">
        <v>2227</v>
      </c>
      <c r="U39" t="str">
        <f>IF(COUNTIF('Survey 1 Papers'!$D:$D,D39)&gt;0,"Shared with S1","Unique")</f>
        <v>Unique</v>
      </c>
    </row>
    <row r="40" spans="1:21" x14ac:dyDescent="0.35">
      <c r="A40" s="14" t="s">
        <v>286</v>
      </c>
      <c r="B40" t="s">
        <v>632</v>
      </c>
      <c r="C40">
        <v>2006</v>
      </c>
      <c r="D40" s="8" t="s">
        <v>633</v>
      </c>
      <c r="E40" t="s">
        <v>634</v>
      </c>
      <c r="F40" t="s">
        <v>846</v>
      </c>
      <c r="G40" t="s">
        <v>583</v>
      </c>
      <c r="I40" t="s">
        <v>226</v>
      </c>
      <c r="J40" t="s">
        <v>282</v>
      </c>
      <c r="K40" t="s">
        <v>283</v>
      </c>
      <c r="L40" t="s">
        <v>284</v>
      </c>
      <c r="M40" t="s">
        <v>275</v>
      </c>
      <c r="N40" t="s">
        <v>240</v>
      </c>
      <c r="O40" t="s">
        <v>926</v>
      </c>
      <c r="P40" t="s">
        <v>573</v>
      </c>
      <c r="Q40" t="s">
        <v>569</v>
      </c>
      <c r="R40" t="s">
        <v>994</v>
      </c>
      <c r="S40" t="s">
        <v>2228</v>
      </c>
      <c r="U40" t="str">
        <f>IF(COUNTIF('Survey 1 Papers'!$D:$D,D40)&gt;0,"Shared with S1","Unique")</f>
        <v>Unique</v>
      </c>
    </row>
    <row r="41" spans="1:21" x14ac:dyDescent="0.35">
      <c r="A41" s="14" t="s">
        <v>286</v>
      </c>
      <c r="B41" t="s">
        <v>635</v>
      </c>
      <c r="C41">
        <v>2019</v>
      </c>
      <c r="D41" s="8" t="s">
        <v>636</v>
      </c>
      <c r="E41" t="s">
        <v>637</v>
      </c>
      <c r="F41" t="s">
        <v>847</v>
      </c>
      <c r="G41" t="s">
        <v>174</v>
      </c>
      <c r="I41" t="s">
        <v>226</v>
      </c>
      <c r="J41" t="s">
        <v>282</v>
      </c>
      <c r="K41" t="s">
        <v>283</v>
      </c>
      <c r="L41" t="s">
        <v>284</v>
      </c>
      <c r="M41" t="s">
        <v>275</v>
      </c>
      <c r="N41" t="s">
        <v>899</v>
      </c>
      <c r="O41" t="s">
        <v>927</v>
      </c>
      <c r="P41" t="s">
        <v>573</v>
      </c>
      <c r="Q41" t="s">
        <v>569</v>
      </c>
      <c r="R41" t="s">
        <v>995</v>
      </c>
      <c r="S41" t="s">
        <v>2226</v>
      </c>
      <c r="U41" t="str">
        <f>IF(COUNTIF('Survey 1 Papers'!$D:$D,D41)&gt;0,"Shared with S1","Unique")</f>
        <v>Unique</v>
      </c>
    </row>
    <row r="42" spans="1:21" x14ac:dyDescent="0.35">
      <c r="A42" s="14" t="s">
        <v>332</v>
      </c>
      <c r="B42" t="s">
        <v>638</v>
      </c>
      <c r="C42">
        <v>2011</v>
      </c>
      <c r="D42" s="8" t="s">
        <v>639</v>
      </c>
      <c r="E42" t="s">
        <v>640</v>
      </c>
      <c r="F42" t="s">
        <v>848</v>
      </c>
      <c r="G42" t="s">
        <v>174</v>
      </c>
      <c r="I42" t="s">
        <v>226</v>
      </c>
      <c r="J42" t="s">
        <v>282</v>
      </c>
      <c r="K42" t="s">
        <v>283</v>
      </c>
      <c r="L42" t="s">
        <v>284</v>
      </c>
      <c r="M42" t="s">
        <v>285</v>
      </c>
      <c r="N42" t="s">
        <v>240</v>
      </c>
      <c r="O42" t="s">
        <v>928</v>
      </c>
      <c r="P42" t="s">
        <v>573</v>
      </c>
      <c r="Q42" t="s">
        <v>569</v>
      </c>
      <c r="R42" t="s">
        <v>996</v>
      </c>
      <c r="S42" t="s">
        <v>2229</v>
      </c>
      <c r="U42" t="str">
        <f>IF(COUNTIF('Survey 1 Papers'!$D:$D,D42)&gt;0,"Shared with S1","Unique")</f>
        <v>Unique</v>
      </c>
    </row>
    <row r="43" spans="1:21" x14ac:dyDescent="0.35">
      <c r="A43" s="14" t="s">
        <v>286</v>
      </c>
      <c r="B43" t="s">
        <v>641</v>
      </c>
      <c r="C43">
        <v>2003</v>
      </c>
      <c r="D43" s="8" t="s">
        <v>642</v>
      </c>
      <c r="E43" t="s">
        <v>643</v>
      </c>
      <c r="F43" t="s">
        <v>849</v>
      </c>
      <c r="G43" t="s">
        <v>583</v>
      </c>
      <c r="I43" t="s">
        <v>227</v>
      </c>
      <c r="J43" t="s">
        <v>282</v>
      </c>
      <c r="K43" t="s">
        <v>283</v>
      </c>
      <c r="L43" t="s">
        <v>238</v>
      </c>
      <c r="M43" t="s">
        <v>272</v>
      </c>
      <c r="N43" t="s">
        <v>240</v>
      </c>
      <c r="O43" t="s">
        <v>929</v>
      </c>
      <c r="P43" t="s">
        <v>573</v>
      </c>
      <c r="Q43" t="s">
        <v>569</v>
      </c>
      <c r="R43" t="s">
        <v>997</v>
      </c>
      <c r="S43" t="s">
        <v>2230</v>
      </c>
      <c r="U43" t="str">
        <f>IF(COUNTIF('Survey 1 Papers'!$D:$D,D43)&gt;0,"Shared with S1","Unique")</f>
        <v>Unique</v>
      </c>
    </row>
    <row r="44" spans="1:21" x14ac:dyDescent="0.35">
      <c r="A44" s="14" t="s">
        <v>404</v>
      </c>
      <c r="B44" t="s">
        <v>644</v>
      </c>
      <c r="C44">
        <v>2023</v>
      </c>
      <c r="D44" s="8" t="s">
        <v>645</v>
      </c>
      <c r="E44" t="s">
        <v>646</v>
      </c>
      <c r="F44" t="s">
        <v>850</v>
      </c>
      <c r="G44" t="s">
        <v>174</v>
      </c>
      <c r="I44" t="s">
        <v>226</v>
      </c>
      <c r="J44" t="s">
        <v>276</v>
      </c>
      <c r="K44" t="s">
        <v>271</v>
      </c>
      <c r="L44" t="s">
        <v>284</v>
      </c>
      <c r="M44" t="s">
        <v>275</v>
      </c>
      <c r="N44" t="s">
        <v>235</v>
      </c>
      <c r="O44" t="s">
        <v>930</v>
      </c>
      <c r="P44" t="s">
        <v>571</v>
      </c>
      <c r="Q44" t="s">
        <v>569</v>
      </c>
      <c r="R44" t="s">
        <v>998</v>
      </c>
      <c r="S44" t="s">
        <v>2230</v>
      </c>
      <c r="U44" t="str">
        <f>IF(COUNTIF('Survey 1 Papers'!$D:$D,D44)&gt;0,"Shared with S1","Unique")</f>
        <v>Unique</v>
      </c>
    </row>
    <row r="45" spans="1:21" x14ac:dyDescent="0.35">
      <c r="A45" s="14" t="s">
        <v>286</v>
      </c>
      <c r="B45" t="s">
        <v>647</v>
      </c>
      <c r="C45">
        <v>2015</v>
      </c>
      <c r="D45" s="8" t="s">
        <v>648</v>
      </c>
      <c r="E45" t="s">
        <v>649</v>
      </c>
      <c r="F45" t="s">
        <v>851</v>
      </c>
      <c r="G45" t="s">
        <v>583</v>
      </c>
      <c r="I45" t="s">
        <v>226</v>
      </c>
      <c r="J45" t="s">
        <v>282</v>
      </c>
      <c r="K45" t="s">
        <v>283</v>
      </c>
      <c r="L45" t="s">
        <v>238</v>
      </c>
      <c r="M45" t="s">
        <v>275</v>
      </c>
      <c r="N45" t="s">
        <v>903</v>
      </c>
      <c r="O45" t="s">
        <v>931</v>
      </c>
      <c r="P45" t="s">
        <v>573</v>
      </c>
      <c r="Q45" t="s">
        <v>569</v>
      </c>
      <c r="R45" t="s">
        <v>999</v>
      </c>
      <c r="S45" t="s">
        <v>2231</v>
      </c>
      <c r="U45" t="str">
        <f>IF(COUNTIF('Survey 1 Papers'!$D:$D,D45)&gt;0,"Shared with S1","Unique")</f>
        <v>Unique</v>
      </c>
    </row>
    <row r="46" spans="1:21" x14ac:dyDescent="0.35">
      <c r="A46" s="14" t="s">
        <v>286</v>
      </c>
      <c r="B46" t="s">
        <v>650</v>
      </c>
      <c r="C46">
        <v>2003</v>
      </c>
      <c r="D46" s="8" t="s">
        <v>651</v>
      </c>
      <c r="E46" t="s">
        <v>652</v>
      </c>
      <c r="F46" t="s">
        <v>852</v>
      </c>
      <c r="G46" t="s">
        <v>583</v>
      </c>
      <c r="I46" t="s">
        <v>227</v>
      </c>
      <c r="J46" t="s">
        <v>282</v>
      </c>
      <c r="K46" t="s">
        <v>283</v>
      </c>
      <c r="L46" t="s">
        <v>238</v>
      </c>
      <c r="M46" t="s">
        <v>272</v>
      </c>
      <c r="N46" t="s">
        <v>240</v>
      </c>
      <c r="O46" t="s">
        <v>932</v>
      </c>
      <c r="P46" t="s">
        <v>573</v>
      </c>
      <c r="Q46" t="s">
        <v>569</v>
      </c>
      <c r="R46" t="s">
        <v>1000</v>
      </c>
      <c r="S46" t="s">
        <v>2208</v>
      </c>
      <c r="U46" t="str">
        <f>IF(COUNTIF('Survey 1 Papers'!$D:$D,D46)&gt;0,"Shared with S1","Unique")</f>
        <v>Unique</v>
      </c>
    </row>
    <row r="47" spans="1:21" x14ac:dyDescent="0.35">
      <c r="A47" s="14" t="s">
        <v>286</v>
      </c>
      <c r="B47" t="s">
        <v>653</v>
      </c>
      <c r="C47">
        <v>2000</v>
      </c>
      <c r="D47" s="8" t="s">
        <v>654</v>
      </c>
      <c r="E47" t="s">
        <v>655</v>
      </c>
      <c r="F47" t="s">
        <v>853</v>
      </c>
      <c r="G47" t="s">
        <v>174</v>
      </c>
      <c r="I47" t="s">
        <v>227</v>
      </c>
      <c r="J47" t="s">
        <v>282</v>
      </c>
      <c r="K47" t="s">
        <v>283</v>
      </c>
      <c r="L47" t="s">
        <v>238</v>
      </c>
      <c r="M47" t="s">
        <v>272</v>
      </c>
      <c r="N47" t="s">
        <v>240</v>
      </c>
      <c r="O47" t="s">
        <v>933</v>
      </c>
      <c r="P47" t="s">
        <v>573</v>
      </c>
      <c r="Q47" t="s">
        <v>569</v>
      </c>
      <c r="R47" t="s">
        <v>1001</v>
      </c>
      <c r="S47" t="s">
        <v>2232</v>
      </c>
      <c r="U47" t="str">
        <f>IF(COUNTIF('Survey 1 Papers'!$D:$D,D47)&gt;0,"Shared with S1","Unique")</f>
        <v>Unique</v>
      </c>
    </row>
    <row r="48" spans="1:21" x14ac:dyDescent="0.35">
      <c r="A48" s="14" t="s">
        <v>286</v>
      </c>
      <c r="B48" t="s">
        <v>656</v>
      </c>
      <c r="C48">
        <v>2009</v>
      </c>
      <c r="D48" s="8" t="s">
        <v>657</v>
      </c>
      <c r="E48" t="s">
        <v>628</v>
      </c>
      <c r="F48" t="s">
        <v>854</v>
      </c>
      <c r="G48" t="s">
        <v>583</v>
      </c>
      <c r="I48" t="s">
        <v>227</v>
      </c>
      <c r="J48" t="s">
        <v>282</v>
      </c>
      <c r="K48" t="s">
        <v>283</v>
      </c>
      <c r="L48" t="s">
        <v>284</v>
      </c>
      <c r="M48" t="s">
        <v>275</v>
      </c>
      <c r="N48" t="s">
        <v>900</v>
      </c>
      <c r="O48" t="s">
        <v>934</v>
      </c>
      <c r="P48" t="s">
        <v>573</v>
      </c>
      <c r="Q48" t="s">
        <v>569</v>
      </c>
      <c r="R48" t="s">
        <v>1002</v>
      </c>
      <c r="S48" t="s">
        <v>2230</v>
      </c>
      <c r="U48" t="str">
        <f>IF(COUNTIF('Survey 1 Papers'!$D:$D,D48)&gt;0,"Shared with S1","Unique")</f>
        <v>Unique</v>
      </c>
    </row>
    <row r="49" spans="1:21" x14ac:dyDescent="0.35">
      <c r="A49" s="14" t="s">
        <v>332</v>
      </c>
      <c r="B49" t="s">
        <v>658</v>
      </c>
      <c r="C49">
        <v>2021</v>
      </c>
      <c r="D49" s="8" t="s">
        <v>659</v>
      </c>
      <c r="E49" t="s">
        <v>660</v>
      </c>
      <c r="F49" t="s">
        <v>855</v>
      </c>
      <c r="G49" t="s">
        <v>174</v>
      </c>
      <c r="I49" t="s">
        <v>226</v>
      </c>
      <c r="J49" t="s">
        <v>276</v>
      </c>
      <c r="K49" t="s">
        <v>283</v>
      </c>
      <c r="L49" t="s">
        <v>284</v>
      </c>
      <c r="M49" t="s">
        <v>285</v>
      </c>
      <c r="N49" t="s">
        <v>233</v>
      </c>
      <c r="O49" t="s">
        <v>935</v>
      </c>
      <c r="P49" t="s">
        <v>571</v>
      </c>
      <c r="Q49" t="s">
        <v>569</v>
      </c>
      <c r="R49" t="s">
        <v>1003</v>
      </c>
      <c r="S49" t="s">
        <v>2233</v>
      </c>
      <c r="U49" t="str">
        <f>IF(COUNTIF('Survey 1 Papers'!$D:$D,D49)&gt;0,"Shared with S1","Unique")</f>
        <v>Unique</v>
      </c>
    </row>
    <row r="50" spans="1:21" x14ac:dyDescent="0.35">
      <c r="A50" s="14" t="s">
        <v>286</v>
      </c>
      <c r="B50" t="s">
        <v>664</v>
      </c>
      <c r="C50">
        <v>2008</v>
      </c>
      <c r="D50" s="8" t="s">
        <v>665</v>
      </c>
      <c r="E50" t="s">
        <v>666</v>
      </c>
      <c r="F50" t="s">
        <v>857</v>
      </c>
      <c r="G50" t="s">
        <v>583</v>
      </c>
      <c r="I50" t="s">
        <v>227</v>
      </c>
      <c r="J50" t="s">
        <v>282</v>
      </c>
      <c r="K50" t="s">
        <v>283</v>
      </c>
      <c r="L50" t="s">
        <v>238</v>
      </c>
      <c r="M50" t="s">
        <v>272</v>
      </c>
      <c r="N50" t="s">
        <v>240</v>
      </c>
      <c r="O50" t="s">
        <v>937</v>
      </c>
      <c r="P50" t="s">
        <v>573</v>
      </c>
      <c r="Q50" t="s">
        <v>569</v>
      </c>
      <c r="R50" t="s">
        <v>1005</v>
      </c>
      <c r="S50" t="s">
        <v>2230</v>
      </c>
      <c r="U50" t="str">
        <f>IF(COUNTIF('Survey 1 Papers'!$D:$D,D50)&gt;0,"Shared with S1","Unique")</f>
        <v>Unique</v>
      </c>
    </row>
    <row r="51" spans="1:21" x14ac:dyDescent="0.35">
      <c r="A51" s="14" t="s">
        <v>332</v>
      </c>
      <c r="B51" t="s">
        <v>667</v>
      </c>
      <c r="C51">
        <v>2011</v>
      </c>
      <c r="D51" s="8" t="s">
        <v>668</v>
      </c>
      <c r="E51" t="s">
        <v>669</v>
      </c>
      <c r="F51" t="s">
        <v>858</v>
      </c>
      <c r="G51" t="s">
        <v>174</v>
      </c>
      <c r="I51" t="s">
        <v>226</v>
      </c>
      <c r="J51" t="s">
        <v>282</v>
      </c>
      <c r="K51" t="s">
        <v>283</v>
      </c>
      <c r="L51" t="s">
        <v>284</v>
      </c>
      <c r="M51" t="s">
        <v>285</v>
      </c>
      <c r="N51" t="s">
        <v>904</v>
      </c>
      <c r="O51" t="s">
        <v>938</v>
      </c>
      <c r="P51" t="s">
        <v>573</v>
      </c>
      <c r="Q51" t="s">
        <v>569</v>
      </c>
      <c r="R51" t="s">
        <v>1006</v>
      </c>
      <c r="S51" t="s">
        <v>2234</v>
      </c>
      <c r="U51" t="str">
        <f>IF(COUNTIF('Survey 1 Papers'!$D:$D,D51)&gt;0,"Shared with S1","Unique")</f>
        <v>Unique</v>
      </c>
    </row>
    <row r="52" spans="1:21" x14ac:dyDescent="0.35">
      <c r="A52" s="14" t="s">
        <v>404</v>
      </c>
      <c r="B52" t="s">
        <v>670</v>
      </c>
      <c r="C52">
        <v>2020</v>
      </c>
      <c r="D52" s="8" t="s">
        <v>671</v>
      </c>
      <c r="E52" t="s">
        <v>106</v>
      </c>
      <c r="F52" t="s">
        <v>859</v>
      </c>
      <c r="G52" t="s">
        <v>174</v>
      </c>
      <c r="I52" t="s">
        <v>226</v>
      </c>
      <c r="J52" t="s">
        <v>276</v>
      </c>
      <c r="K52" t="s">
        <v>271</v>
      </c>
      <c r="L52" t="s">
        <v>284</v>
      </c>
      <c r="M52" t="s">
        <v>285</v>
      </c>
      <c r="N52" t="s">
        <v>255</v>
      </c>
      <c r="O52" t="s">
        <v>939</v>
      </c>
      <c r="P52" t="s">
        <v>571</v>
      </c>
      <c r="Q52" t="s">
        <v>569</v>
      </c>
      <c r="R52" t="s">
        <v>1007</v>
      </c>
      <c r="S52" t="s">
        <v>2214</v>
      </c>
      <c r="U52" t="str">
        <f>IF(COUNTIF('Survey 1 Papers'!$D:$D,D52)&gt;0,"Shared with S1","Unique")</f>
        <v>Shared with S1</v>
      </c>
    </row>
    <row r="53" spans="1:21" x14ac:dyDescent="0.35">
      <c r="A53" s="14" t="s">
        <v>286</v>
      </c>
      <c r="B53" t="s">
        <v>692</v>
      </c>
      <c r="C53">
        <v>2013</v>
      </c>
      <c r="D53" s="8" t="s">
        <v>693</v>
      </c>
      <c r="E53" t="s">
        <v>319</v>
      </c>
      <c r="F53" t="s">
        <v>864</v>
      </c>
      <c r="G53" t="s">
        <v>694</v>
      </c>
      <c r="H53" t="s">
        <v>695</v>
      </c>
      <c r="I53" t="s">
        <v>226</v>
      </c>
      <c r="J53" t="s">
        <v>282</v>
      </c>
      <c r="K53" t="s">
        <v>283</v>
      </c>
      <c r="L53" t="s">
        <v>284</v>
      </c>
      <c r="M53" t="s">
        <v>275</v>
      </c>
      <c r="N53" t="s">
        <v>240</v>
      </c>
      <c r="O53" t="s">
        <v>944</v>
      </c>
      <c r="P53" t="s">
        <v>573</v>
      </c>
      <c r="Q53" t="s">
        <v>569</v>
      </c>
      <c r="R53" t="s">
        <v>1011</v>
      </c>
      <c r="S53" t="s">
        <v>2222</v>
      </c>
      <c r="U53" t="str">
        <f>IF(COUNTIF('Survey 1 Papers'!$D:$D,D53)&gt;0,"Shared with S1","Unique")</f>
        <v>Unique</v>
      </c>
    </row>
    <row r="54" spans="1:21" x14ac:dyDescent="0.35">
      <c r="A54" s="14" t="s">
        <v>286</v>
      </c>
      <c r="B54" t="s">
        <v>696</v>
      </c>
      <c r="C54">
        <v>2013</v>
      </c>
      <c r="D54" t="s">
        <v>697</v>
      </c>
      <c r="E54" t="s">
        <v>698</v>
      </c>
      <c r="F54" t="s">
        <v>865</v>
      </c>
      <c r="G54" t="s">
        <v>314</v>
      </c>
      <c r="H54" t="s">
        <v>699</v>
      </c>
      <c r="I54" t="s">
        <v>227</v>
      </c>
      <c r="J54" t="s">
        <v>282</v>
      </c>
      <c r="K54" t="s">
        <v>283</v>
      </c>
      <c r="L54" t="s">
        <v>284</v>
      </c>
      <c r="M54" t="s">
        <v>275</v>
      </c>
      <c r="N54" t="s">
        <v>482</v>
      </c>
      <c r="O54" t="s">
        <v>945</v>
      </c>
      <c r="P54" t="s">
        <v>573</v>
      </c>
      <c r="Q54" t="s">
        <v>569</v>
      </c>
      <c r="R54" t="s">
        <v>1012</v>
      </c>
      <c r="S54" t="s">
        <v>2230</v>
      </c>
      <c r="U54" t="str">
        <f>IF(COUNTIF('Survey 1 Papers'!$D:$D,D54)&gt;0,"Shared with S1","Unique")</f>
        <v>Unique</v>
      </c>
    </row>
    <row r="55" spans="1:21" x14ac:dyDescent="0.35">
      <c r="A55" s="14" t="s">
        <v>286</v>
      </c>
      <c r="B55" t="s">
        <v>700</v>
      </c>
      <c r="C55">
        <v>2021</v>
      </c>
      <c r="D55" t="s">
        <v>701</v>
      </c>
      <c r="E55" t="s">
        <v>702</v>
      </c>
      <c r="F55" t="s">
        <v>866</v>
      </c>
      <c r="G55" t="s">
        <v>687</v>
      </c>
      <c r="I55" t="s">
        <v>227</v>
      </c>
      <c r="J55" t="s">
        <v>282</v>
      </c>
      <c r="K55" t="s">
        <v>283</v>
      </c>
      <c r="L55" t="s">
        <v>284</v>
      </c>
      <c r="M55" t="s">
        <v>275</v>
      </c>
      <c r="N55" t="s">
        <v>482</v>
      </c>
      <c r="O55" t="s">
        <v>946</v>
      </c>
      <c r="P55" t="s">
        <v>573</v>
      </c>
      <c r="Q55" t="s">
        <v>569</v>
      </c>
      <c r="R55" t="s">
        <v>1013</v>
      </c>
      <c r="S55" t="s">
        <v>2224</v>
      </c>
      <c r="U55" t="str">
        <f>IF(COUNTIF('Survey 1 Papers'!$D:$D,D55)&gt;0,"Shared with S1","Unique")</f>
        <v>Unique</v>
      </c>
    </row>
    <row r="56" spans="1:21" x14ac:dyDescent="0.35">
      <c r="A56" s="14" t="s">
        <v>404</v>
      </c>
      <c r="B56" t="s">
        <v>703</v>
      </c>
      <c r="C56">
        <v>2024</v>
      </c>
      <c r="D56" t="s">
        <v>704</v>
      </c>
      <c r="E56" t="s">
        <v>705</v>
      </c>
      <c r="F56" t="s">
        <v>867</v>
      </c>
      <c r="G56" t="s">
        <v>706</v>
      </c>
      <c r="H56" t="s">
        <v>707</v>
      </c>
      <c r="I56" t="s">
        <v>226</v>
      </c>
      <c r="J56" t="s">
        <v>274</v>
      </c>
      <c r="K56" t="s">
        <v>271</v>
      </c>
      <c r="L56" t="s">
        <v>284</v>
      </c>
      <c r="M56" t="s">
        <v>275</v>
      </c>
      <c r="N56" t="s">
        <v>233</v>
      </c>
      <c r="O56" t="s">
        <v>947</v>
      </c>
      <c r="P56" t="s">
        <v>571</v>
      </c>
      <c r="Q56" t="s">
        <v>569</v>
      </c>
      <c r="R56" t="s">
        <v>1014</v>
      </c>
      <c r="S56" t="s">
        <v>2235</v>
      </c>
      <c r="U56" t="str">
        <f>IF(COUNTIF('Survey 1 Papers'!$D:$D,D56)&gt;0,"Shared with S1","Unique")</f>
        <v>Unique</v>
      </c>
    </row>
    <row r="57" spans="1:21" x14ac:dyDescent="0.35">
      <c r="A57" s="14" t="s">
        <v>404</v>
      </c>
      <c r="B57" t="s">
        <v>708</v>
      </c>
      <c r="C57">
        <v>2022</v>
      </c>
      <c r="D57" t="s">
        <v>709</v>
      </c>
      <c r="E57" t="s">
        <v>710</v>
      </c>
      <c r="F57" t="s">
        <v>868</v>
      </c>
      <c r="G57" t="s">
        <v>711</v>
      </c>
      <c r="H57" t="s">
        <v>712</v>
      </c>
      <c r="I57" t="s">
        <v>226</v>
      </c>
      <c r="J57" t="s">
        <v>274</v>
      </c>
      <c r="K57" t="s">
        <v>271</v>
      </c>
      <c r="L57" t="s">
        <v>284</v>
      </c>
      <c r="M57" t="s">
        <v>285</v>
      </c>
      <c r="N57" t="s">
        <v>255</v>
      </c>
      <c r="O57" t="s">
        <v>948</v>
      </c>
      <c r="P57" t="s">
        <v>571</v>
      </c>
      <c r="Q57" t="s">
        <v>569</v>
      </c>
      <c r="R57" t="s">
        <v>1015</v>
      </c>
      <c r="S57" t="s">
        <v>2236</v>
      </c>
      <c r="U57" t="str">
        <f>IF(COUNTIF('Survey 1 Papers'!$D:$D,D57)&gt;0,"Shared with S1","Unique")</f>
        <v>Shared with S1</v>
      </c>
    </row>
    <row r="58" spans="1:21" x14ac:dyDescent="0.35">
      <c r="A58" s="14" t="s">
        <v>332</v>
      </c>
      <c r="B58" t="s">
        <v>684</v>
      </c>
      <c r="C58">
        <v>2021</v>
      </c>
      <c r="D58" t="s">
        <v>685</v>
      </c>
      <c r="E58" t="s">
        <v>686</v>
      </c>
      <c r="F58" t="s">
        <v>1044</v>
      </c>
      <c r="G58" t="s">
        <v>687</v>
      </c>
      <c r="I58" t="s">
        <v>225</v>
      </c>
      <c r="J58" t="s">
        <v>282</v>
      </c>
      <c r="K58" t="s">
        <v>283</v>
      </c>
      <c r="L58" t="s">
        <v>284</v>
      </c>
      <c r="M58" t="s">
        <v>285</v>
      </c>
      <c r="N58" t="s">
        <v>261</v>
      </c>
      <c r="O58" t="s">
        <v>1045</v>
      </c>
      <c r="P58" t="s">
        <v>573</v>
      </c>
      <c r="Q58" t="s">
        <v>569</v>
      </c>
      <c r="R58" t="s">
        <v>1046</v>
      </c>
      <c r="S58" t="s">
        <v>2237</v>
      </c>
      <c r="T58" t="s">
        <v>2180</v>
      </c>
      <c r="U58" t="str">
        <f>IF(COUNTIF('Survey 1 Papers'!$D:$D,D58)&gt;0,"Shared with S1","Unique")</f>
        <v>Unique</v>
      </c>
    </row>
    <row r="59" spans="1:21" x14ac:dyDescent="0.35">
      <c r="A59" s="14" t="s">
        <v>332</v>
      </c>
      <c r="B59" t="s">
        <v>688</v>
      </c>
      <c r="C59">
        <v>2020</v>
      </c>
      <c r="D59" t="s">
        <v>689</v>
      </c>
      <c r="E59" t="s">
        <v>686</v>
      </c>
      <c r="F59" t="s">
        <v>1047</v>
      </c>
      <c r="G59" t="s">
        <v>687</v>
      </c>
      <c r="I59" t="s">
        <v>225</v>
      </c>
      <c r="J59" t="s">
        <v>282</v>
      </c>
      <c r="K59" t="s">
        <v>283</v>
      </c>
      <c r="L59" t="s">
        <v>284</v>
      </c>
      <c r="M59" t="s">
        <v>285</v>
      </c>
      <c r="N59" t="s">
        <v>261</v>
      </c>
      <c r="O59" t="s">
        <v>1045</v>
      </c>
      <c r="P59" t="s">
        <v>573</v>
      </c>
      <c r="Q59" t="s">
        <v>569</v>
      </c>
      <c r="R59" t="s">
        <v>1046</v>
      </c>
      <c r="S59" t="s">
        <v>1383</v>
      </c>
      <c r="T59" t="s">
        <v>2180</v>
      </c>
      <c r="U59" t="str">
        <f>IF(COUNTIF('Survey 1 Papers'!$D:$D,D59)&gt;0,"Shared with S1","Unique")</f>
        <v>Unique</v>
      </c>
    </row>
    <row r="60" spans="1:21" x14ac:dyDescent="0.35">
      <c r="A60" s="14" t="s">
        <v>332</v>
      </c>
      <c r="B60" t="s">
        <v>690</v>
      </c>
      <c r="C60">
        <v>2019</v>
      </c>
      <c r="D60" t="s">
        <v>691</v>
      </c>
      <c r="E60" t="s">
        <v>686</v>
      </c>
      <c r="F60" t="s">
        <v>1048</v>
      </c>
      <c r="G60" t="s">
        <v>687</v>
      </c>
      <c r="I60" t="s">
        <v>225</v>
      </c>
      <c r="J60" t="s">
        <v>282</v>
      </c>
      <c r="K60" t="s">
        <v>283</v>
      </c>
      <c r="L60" t="s">
        <v>284</v>
      </c>
      <c r="M60" t="s">
        <v>285</v>
      </c>
      <c r="N60" t="s">
        <v>261</v>
      </c>
      <c r="O60" t="s">
        <v>1045</v>
      </c>
      <c r="P60" t="s">
        <v>573</v>
      </c>
      <c r="Q60" t="s">
        <v>569</v>
      </c>
      <c r="R60" t="s">
        <v>1046</v>
      </c>
      <c r="S60" t="s">
        <v>2238</v>
      </c>
      <c r="T60" t="s">
        <v>2180</v>
      </c>
      <c r="U60" t="str">
        <f>IF(COUNTIF('Survey 1 Papers'!$D:$D,D60)&gt;0,"Shared with S1","Unique")</f>
        <v>Unique</v>
      </c>
    </row>
    <row r="61" spans="1:21" x14ac:dyDescent="0.35">
      <c r="A61" s="28" t="s">
        <v>1823</v>
      </c>
      <c r="B61" s="28" t="s">
        <v>1831</v>
      </c>
      <c r="C61" s="28">
        <v>2016</v>
      </c>
      <c r="D61" s="28" t="s">
        <v>1832</v>
      </c>
      <c r="E61" s="28" t="s">
        <v>329</v>
      </c>
      <c r="F61" s="28" t="s">
        <v>1833</v>
      </c>
      <c r="G61" s="28" t="s">
        <v>1808</v>
      </c>
      <c r="H61" s="28"/>
      <c r="I61" s="28" t="s">
        <v>226</v>
      </c>
      <c r="J61" s="28" t="s">
        <v>1827</v>
      </c>
      <c r="K61" s="28" t="s">
        <v>1810</v>
      </c>
      <c r="L61" s="28" t="s">
        <v>1828</v>
      </c>
      <c r="M61" s="28" t="s">
        <v>285</v>
      </c>
      <c r="N61" s="28" t="s">
        <v>280</v>
      </c>
      <c r="O61" s="28"/>
      <c r="P61" s="28" t="s">
        <v>1799</v>
      </c>
      <c r="Q61" s="28" t="s">
        <v>569</v>
      </c>
      <c r="R61" s="28" t="s">
        <v>1834</v>
      </c>
      <c r="S61" t="s">
        <v>2239</v>
      </c>
      <c r="U61" t="str">
        <f>IF(COUNTIF('Survey 1 Papers'!$D:$D,D61)&gt;0,"Shared with S1","Unique")</f>
        <v>Unique</v>
      </c>
    </row>
    <row r="62" spans="1:21" x14ac:dyDescent="0.35">
      <c r="A62" s="28" t="s">
        <v>1800</v>
      </c>
      <c r="B62" s="28" t="s">
        <v>1873</v>
      </c>
      <c r="C62" s="28">
        <v>2014</v>
      </c>
      <c r="D62" s="28" t="s">
        <v>1874</v>
      </c>
      <c r="E62" s="28" t="s">
        <v>1875</v>
      </c>
      <c r="F62" s="28" t="s">
        <v>1876</v>
      </c>
      <c r="G62" s="28" t="s">
        <v>1808</v>
      </c>
      <c r="H62" s="28"/>
      <c r="I62" s="28" t="s">
        <v>226</v>
      </c>
      <c r="J62" s="28" t="s">
        <v>1871</v>
      </c>
      <c r="K62" s="28" t="s">
        <v>271</v>
      </c>
      <c r="L62" s="28" t="s">
        <v>1828</v>
      </c>
      <c r="M62" s="28" t="s">
        <v>285</v>
      </c>
      <c r="N62" s="28" t="s">
        <v>244</v>
      </c>
      <c r="O62" s="28"/>
      <c r="P62" s="28" t="s">
        <v>1877</v>
      </c>
      <c r="Q62" s="28" t="s">
        <v>569</v>
      </c>
      <c r="R62" s="28" t="s">
        <v>1878</v>
      </c>
      <c r="S62" t="s">
        <v>2240</v>
      </c>
      <c r="T62" t="s">
        <v>2241</v>
      </c>
      <c r="U62" t="str">
        <f>IF(COUNTIF('Survey 1 Papers'!$D:$D,D62)&gt;0,"Shared with S1","Unique")</f>
        <v>Unique</v>
      </c>
    </row>
    <row r="63" spans="1:21" x14ac:dyDescent="0.35">
      <c r="A63" s="28" t="s">
        <v>1903</v>
      </c>
      <c r="B63" s="28" t="s">
        <v>1911</v>
      </c>
      <c r="C63" s="28">
        <v>2012</v>
      </c>
      <c r="D63" s="28" t="s">
        <v>1912</v>
      </c>
      <c r="E63" s="28" t="s">
        <v>1913</v>
      </c>
      <c r="F63" s="28" t="s">
        <v>1914</v>
      </c>
      <c r="G63" s="28" t="s">
        <v>1808</v>
      </c>
      <c r="H63" s="28"/>
      <c r="I63" s="28" t="s">
        <v>227</v>
      </c>
      <c r="J63" s="28" t="s">
        <v>277</v>
      </c>
      <c r="K63" s="28" t="s">
        <v>1810</v>
      </c>
      <c r="L63" s="28" t="s">
        <v>1861</v>
      </c>
      <c r="M63" s="28" t="s">
        <v>275</v>
      </c>
      <c r="N63" s="28" t="s">
        <v>280</v>
      </c>
      <c r="O63" s="28"/>
      <c r="P63" s="28" t="s">
        <v>571</v>
      </c>
      <c r="Q63" s="28" t="s">
        <v>569</v>
      </c>
      <c r="R63" s="28" t="s">
        <v>1915</v>
      </c>
      <c r="S63" t="s">
        <v>2242</v>
      </c>
      <c r="U63" t="str">
        <f>IF(COUNTIF('Survey 1 Papers'!$D:$D,D63)&gt;0,"Shared with S1","Unique")</f>
        <v>Unique</v>
      </c>
    </row>
    <row r="64" spans="1:21" x14ac:dyDescent="0.35">
      <c r="A64" s="28" t="s">
        <v>1935</v>
      </c>
      <c r="B64" s="28" t="s">
        <v>1941</v>
      </c>
      <c r="C64" s="28">
        <v>2001</v>
      </c>
      <c r="D64" s="28" t="s">
        <v>1942</v>
      </c>
      <c r="E64" s="28" t="s">
        <v>1943</v>
      </c>
      <c r="F64" s="28" t="s">
        <v>1944</v>
      </c>
      <c r="G64" s="28" t="s">
        <v>1808</v>
      </c>
      <c r="H64" s="28"/>
      <c r="I64" s="28" t="s">
        <v>227</v>
      </c>
      <c r="J64" s="28" t="s">
        <v>1938</v>
      </c>
      <c r="K64" s="28" t="s">
        <v>1810</v>
      </c>
      <c r="L64" s="28" t="s">
        <v>1939</v>
      </c>
      <c r="M64" s="28" t="s">
        <v>275</v>
      </c>
      <c r="N64" s="28" t="s">
        <v>280</v>
      </c>
      <c r="O64" s="28"/>
      <c r="P64" s="28" t="s">
        <v>1945</v>
      </c>
      <c r="Q64" s="28" t="s">
        <v>569</v>
      </c>
      <c r="R64" s="28" t="s">
        <v>1946</v>
      </c>
      <c r="S64" t="s">
        <v>2243</v>
      </c>
      <c r="U64" t="str">
        <f>IF(COUNTIF('Survey 1 Papers'!$D:$D,D64)&gt;0,"Shared with S1","Unique")</f>
        <v>Unique</v>
      </c>
    </row>
    <row r="65" spans="1:21" x14ac:dyDescent="0.35">
      <c r="A65" s="28" t="s">
        <v>1802</v>
      </c>
      <c r="B65" s="28" t="s">
        <v>1951</v>
      </c>
      <c r="C65" s="28">
        <v>2019</v>
      </c>
      <c r="D65" s="28" t="s">
        <v>1952</v>
      </c>
      <c r="E65" s="28" t="s">
        <v>371</v>
      </c>
      <c r="F65" s="28" t="s">
        <v>1953</v>
      </c>
      <c r="G65" s="28" t="s">
        <v>1808</v>
      </c>
      <c r="H65" s="28"/>
      <c r="I65" s="28" t="s">
        <v>227</v>
      </c>
      <c r="J65" s="28" t="s">
        <v>1954</v>
      </c>
      <c r="K65" s="28" t="s">
        <v>1810</v>
      </c>
      <c r="L65" s="28" t="s">
        <v>1828</v>
      </c>
      <c r="M65" s="28" t="s">
        <v>275</v>
      </c>
      <c r="N65" s="28" t="s">
        <v>280</v>
      </c>
      <c r="O65" s="28"/>
      <c r="P65" s="28" t="s">
        <v>1804</v>
      </c>
      <c r="Q65" s="28" t="s">
        <v>569</v>
      </c>
      <c r="R65" s="28" t="s">
        <v>1955</v>
      </c>
      <c r="S65" t="s">
        <v>2244</v>
      </c>
      <c r="T65" t="s">
        <v>2180</v>
      </c>
      <c r="U65" t="str">
        <f>IF(COUNTIF('Survey 1 Papers'!$D:$D,D65)&gt;0,"Shared with S1","Unique")</f>
        <v>Unique</v>
      </c>
    </row>
    <row r="66" spans="1:21" x14ac:dyDescent="0.35">
      <c r="A66" s="28" t="s">
        <v>1802</v>
      </c>
      <c r="B66" s="28" t="s">
        <v>1958</v>
      </c>
      <c r="C66" s="28">
        <v>2023</v>
      </c>
      <c r="D66" s="28" t="s">
        <v>1803</v>
      </c>
      <c r="E66" s="28" t="s">
        <v>371</v>
      </c>
      <c r="F66" s="28" t="s">
        <v>1959</v>
      </c>
      <c r="G66" s="28" t="s">
        <v>1808</v>
      </c>
      <c r="H66" s="28"/>
      <c r="I66" s="28" t="s">
        <v>227</v>
      </c>
      <c r="J66" s="28" t="s">
        <v>1954</v>
      </c>
      <c r="K66" s="28" t="s">
        <v>1810</v>
      </c>
      <c r="L66" s="28" t="s">
        <v>1828</v>
      </c>
      <c r="M66" s="28" t="s">
        <v>275</v>
      </c>
      <c r="N66" s="28" t="s">
        <v>280</v>
      </c>
      <c r="O66" s="28"/>
      <c r="P66" s="28" t="s">
        <v>1804</v>
      </c>
      <c r="Q66" s="28" t="s">
        <v>569</v>
      </c>
      <c r="R66" s="28" t="s">
        <v>1955</v>
      </c>
      <c r="S66" t="s">
        <v>2244</v>
      </c>
      <c r="T66" t="s">
        <v>2180</v>
      </c>
      <c r="U66" t="str">
        <f>IF(COUNTIF('Survey 1 Papers'!$D:$D,D66)&gt;0,"Shared with S1","Unique")</f>
        <v>Unique</v>
      </c>
    </row>
    <row r="67" spans="1:21" x14ac:dyDescent="0.35">
      <c r="A67" s="28" t="s">
        <v>1966</v>
      </c>
      <c r="B67" s="28" t="s">
        <v>1967</v>
      </c>
      <c r="C67" s="28">
        <v>2018</v>
      </c>
      <c r="D67" s="28" t="s">
        <v>1968</v>
      </c>
      <c r="E67" s="28" t="s">
        <v>134</v>
      </c>
      <c r="F67" s="28" t="s">
        <v>1969</v>
      </c>
      <c r="G67" s="28" t="s">
        <v>1808</v>
      </c>
      <c r="H67" s="28"/>
      <c r="I67" s="28" t="s">
        <v>1434</v>
      </c>
      <c r="J67" s="28" t="s">
        <v>276</v>
      </c>
      <c r="K67" s="28" t="s">
        <v>1810</v>
      </c>
      <c r="L67" s="28" t="s">
        <v>1939</v>
      </c>
      <c r="M67" s="28" t="s">
        <v>272</v>
      </c>
      <c r="N67" s="28" t="s">
        <v>280</v>
      </c>
      <c r="O67" s="28"/>
      <c r="P67" s="28" t="s">
        <v>1795</v>
      </c>
      <c r="Q67" s="28" t="s">
        <v>569</v>
      </c>
      <c r="R67" s="28" t="s">
        <v>1970</v>
      </c>
      <c r="S67" t="s">
        <v>2245</v>
      </c>
      <c r="U67" t="str">
        <f>IF(COUNTIF('Survey 1 Papers'!$D:$D,D67)&gt;0,"Shared with S1","Unique")</f>
        <v>Shared with S1</v>
      </c>
    </row>
    <row r="68" spans="1:21" x14ac:dyDescent="0.35">
      <c r="A68" s="47" t="s">
        <v>286</v>
      </c>
      <c r="B68" s="47" t="s">
        <v>2403</v>
      </c>
      <c r="C68" s="47">
        <v>2016</v>
      </c>
      <c r="D68" s="47" t="s">
        <v>2404</v>
      </c>
      <c r="E68" s="47" t="s">
        <v>2405</v>
      </c>
      <c r="F68" s="47" t="s">
        <v>2406</v>
      </c>
      <c r="G68" s="47" t="s">
        <v>174</v>
      </c>
      <c r="H68" s="47" t="s">
        <v>2407</v>
      </c>
      <c r="I68" s="47" t="s">
        <v>225</v>
      </c>
      <c r="J68" s="47" t="s">
        <v>282</v>
      </c>
      <c r="K68" s="47" t="s">
        <v>283</v>
      </c>
      <c r="L68" s="47" t="s">
        <v>284</v>
      </c>
      <c r="M68" s="47" t="s">
        <v>285</v>
      </c>
      <c r="N68" s="47" t="s">
        <v>496</v>
      </c>
      <c r="O68" s="47" t="s">
        <v>2408</v>
      </c>
      <c r="P68" s="47"/>
      <c r="Q68" s="47" t="s">
        <v>569</v>
      </c>
      <c r="R68" s="47"/>
      <c r="S68" s="48" t="s">
        <v>2409</v>
      </c>
      <c r="T68" s="48" t="s">
        <v>2253</v>
      </c>
      <c r="U68" t="str">
        <f>IF(COUNTIF('Survey 1 Papers'!$D:$D,D68)&gt;0,"Shared with S1","Unique")</f>
        <v>Unique</v>
      </c>
    </row>
    <row r="69" spans="1:21" x14ac:dyDescent="0.35">
      <c r="A69" s="47" t="s">
        <v>286</v>
      </c>
      <c r="B69" s="47" t="s">
        <v>2403</v>
      </c>
      <c r="C69" s="47">
        <v>2014</v>
      </c>
      <c r="D69" s="47" t="s">
        <v>2410</v>
      </c>
      <c r="E69" s="47" t="s">
        <v>2411</v>
      </c>
      <c r="F69" s="47" t="s">
        <v>2412</v>
      </c>
      <c r="G69" s="47" t="s">
        <v>549</v>
      </c>
      <c r="H69" s="47" t="s">
        <v>2413</v>
      </c>
      <c r="I69" s="47" t="s">
        <v>226</v>
      </c>
      <c r="J69" s="47" t="s">
        <v>282</v>
      </c>
      <c r="K69" s="47" t="s">
        <v>283</v>
      </c>
      <c r="L69" s="47" t="s">
        <v>284</v>
      </c>
      <c r="M69" s="47" t="s">
        <v>285</v>
      </c>
      <c r="N69" s="47" t="s">
        <v>231</v>
      </c>
      <c r="O69" s="47" t="s">
        <v>2414</v>
      </c>
      <c r="P69" s="47"/>
      <c r="Q69" s="47" t="s">
        <v>569</v>
      </c>
      <c r="R69" s="47"/>
      <c r="S69" s="48" t="s">
        <v>2415</v>
      </c>
      <c r="T69" s="48" t="s">
        <v>2253</v>
      </c>
      <c r="U69" t="str">
        <f>IF(COUNTIF('Survey 1 Papers'!$D:$D,D69)&gt;0,"Shared with S1","Unique")</f>
        <v>Unique</v>
      </c>
    </row>
    <row r="70" spans="1:21" x14ac:dyDescent="0.35">
      <c r="A70" s="47" t="s">
        <v>332</v>
      </c>
      <c r="B70" s="47" t="s">
        <v>2416</v>
      </c>
      <c r="C70" s="47">
        <v>2020</v>
      </c>
      <c r="D70" s="47" t="s">
        <v>2417</v>
      </c>
      <c r="E70" s="47" t="s">
        <v>2418</v>
      </c>
      <c r="F70" s="47" t="s">
        <v>2419</v>
      </c>
      <c r="G70" s="47" t="s">
        <v>297</v>
      </c>
      <c r="H70" s="47" t="s">
        <v>2420</v>
      </c>
      <c r="I70" s="47" t="s">
        <v>225</v>
      </c>
      <c r="J70" s="47" t="s">
        <v>282</v>
      </c>
      <c r="K70" s="47" t="s">
        <v>283</v>
      </c>
      <c r="L70" s="47" t="s">
        <v>284</v>
      </c>
      <c r="M70" s="47" t="s">
        <v>285</v>
      </c>
      <c r="N70" s="47" t="s">
        <v>2421</v>
      </c>
      <c r="O70" s="47" t="s">
        <v>2422</v>
      </c>
      <c r="P70" s="47"/>
      <c r="Q70" s="47" t="s">
        <v>569</v>
      </c>
      <c r="R70" s="47"/>
      <c r="S70" s="48" t="s">
        <v>2423</v>
      </c>
      <c r="T70" s="48" t="s">
        <v>2253</v>
      </c>
      <c r="U70" t="str">
        <f>IF(COUNTIF('Survey 1 Papers'!$D:$D,D70)&gt;0,"Shared with S1","Unique")</f>
        <v>Unique</v>
      </c>
    </row>
    <row r="71" spans="1:21" x14ac:dyDescent="0.35">
      <c r="A71" s="47" t="s">
        <v>332</v>
      </c>
      <c r="B71" s="47" t="s">
        <v>2424</v>
      </c>
      <c r="C71" s="47">
        <v>2025</v>
      </c>
      <c r="D71" s="47" t="s">
        <v>2425</v>
      </c>
      <c r="E71" s="47" t="s">
        <v>2426</v>
      </c>
      <c r="F71" s="47" t="s">
        <v>2427</v>
      </c>
      <c r="G71" s="47" t="s">
        <v>174</v>
      </c>
      <c r="H71" s="47" t="s">
        <v>2428</v>
      </c>
      <c r="I71" s="47" t="s">
        <v>226</v>
      </c>
      <c r="J71" s="47" t="s">
        <v>282</v>
      </c>
      <c r="K71" s="47" t="s">
        <v>283</v>
      </c>
      <c r="L71" s="47" t="s">
        <v>284</v>
      </c>
      <c r="M71" s="47" t="s">
        <v>285</v>
      </c>
      <c r="N71" s="47" t="s">
        <v>2429</v>
      </c>
      <c r="O71" s="47" t="s">
        <v>2430</v>
      </c>
      <c r="P71" s="47"/>
      <c r="Q71" s="47" t="s">
        <v>569</v>
      </c>
      <c r="R71" s="47"/>
      <c r="S71" s="48" t="s">
        <v>2431</v>
      </c>
      <c r="T71" s="48" t="s">
        <v>2253</v>
      </c>
      <c r="U71" t="str">
        <f>IF(COUNTIF('Survey 1 Papers'!$D:$D,D71)&gt;0,"Shared with S1","Unique")</f>
        <v>Shared with S1</v>
      </c>
    </row>
    <row r="72" spans="1:21" x14ac:dyDescent="0.35">
      <c r="A72" s="47" t="s">
        <v>286</v>
      </c>
      <c r="B72" s="47" t="s">
        <v>2432</v>
      </c>
      <c r="C72" s="47">
        <v>2020</v>
      </c>
      <c r="D72" s="47" t="s">
        <v>2433</v>
      </c>
      <c r="E72" s="47" t="s">
        <v>2434</v>
      </c>
      <c r="F72" s="47" t="s">
        <v>2435</v>
      </c>
      <c r="G72" s="47" t="s">
        <v>174</v>
      </c>
      <c r="H72" s="47" t="s">
        <v>2436</v>
      </c>
      <c r="I72" s="47" t="s">
        <v>226</v>
      </c>
      <c r="J72" s="47" t="s">
        <v>282</v>
      </c>
      <c r="K72" s="47" t="s">
        <v>283</v>
      </c>
      <c r="L72" s="47" t="s">
        <v>284</v>
      </c>
      <c r="M72" s="47" t="s">
        <v>275</v>
      </c>
      <c r="N72" s="47" t="s">
        <v>496</v>
      </c>
      <c r="O72" s="47" t="s">
        <v>2437</v>
      </c>
      <c r="P72" s="47"/>
      <c r="Q72" s="47" t="s">
        <v>569</v>
      </c>
      <c r="R72" s="47"/>
      <c r="S72" s="48" t="s">
        <v>2438</v>
      </c>
      <c r="T72" s="48" t="s">
        <v>2253</v>
      </c>
      <c r="U72" t="str">
        <f>IF(COUNTIF('Survey 1 Papers'!$D:$D,D72)&gt;0,"Shared with S1","Unique")</f>
        <v>Unique</v>
      </c>
    </row>
    <row r="73" spans="1:21" x14ac:dyDescent="0.35">
      <c r="A73" s="47" t="s">
        <v>286</v>
      </c>
      <c r="B73" s="47" t="s">
        <v>2439</v>
      </c>
      <c r="C73" s="47">
        <v>2021</v>
      </c>
      <c r="D73" s="47" t="s">
        <v>2440</v>
      </c>
      <c r="E73" s="47" t="s">
        <v>2441</v>
      </c>
      <c r="F73" s="47" t="s">
        <v>2442</v>
      </c>
      <c r="G73" s="47" t="s">
        <v>174</v>
      </c>
      <c r="H73" s="47" t="s">
        <v>2443</v>
      </c>
      <c r="I73" s="47" t="s">
        <v>226</v>
      </c>
      <c r="J73" s="47" t="s">
        <v>282</v>
      </c>
      <c r="K73" s="47" t="s">
        <v>283</v>
      </c>
      <c r="L73" s="47" t="s">
        <v>284</v>
      </c>
      <c r="M73" s="47" t="s">
        <v>275</v>
      </c>
      <c r="N73" s="47" t="s">
        <v>899</v>
      </c>
      <c r="O73" s="47" t="s">
        <v>2444</v>
      </c>
      <c r="P73" s="47"/>
      <c r="Q73" s="47" t="s">
        <v>569</v>
      </c>
      <c r="R73" s="47"/>
      <c r="S73" s="48" t="s">
        <v>2445</v>
      </c>
      <c r="T73" s="48" t="s">
        <v>2253</v>
      </c>
      <c r="U73" t="str">
        <f>IF(COUNTIF('Survey 1 Papers'!$D:$D,D73)&gt;0,"Shared with S1","Unique")</f>
        <v>Unique</v>
      </c>
    </row>
    <row r="74" spans="1:21" x14ac:dyDescent="0.35">
      <c r="A74" s="47" t="s">
        <v>286</v>
      </c>
      <c r="B74" s="47" t="s">
        <v>2446</v>
      </c>
      <c r="C74" s="47">
        <v>2013</v>
      </c>
      <c r="D74" s="47" t="s">
        <v>2447</v>
      </c>
      <c r="E74" s="47" t="s">
        <v>2448</v>
      </c>
      <c r="F74" s="47" t="s">
        <v>2449</v>
      </c>
      <c r="G74" s="47" t="s">
        <v>694</v>
      </c>
      <c r="H74" s="47" t="s">
        <v>2450</v>
      </c>
      <c r="I74" s="47" t="s">
        <v>225</v>
      </c>
      <c r="J74" s="47" t="s">
        <v>282</v>
      </c>
      <c r="K74" s="47" t="s">
        <v>283</v>
      </c>
      <c r="L74" s="47" t="s">
        <v>284</v>
      </c>
      <c r="M74" s="47" t="s">
        <v>285</v>
      </c>
      <c r="N74" s="47" t="s">
        <v>482</v>
      </c>
      <c r="O74" s="47" t="s">
        <v>2451</v>
      </c>
      <c r="P74" s="47"/>
      <c r="Q74" s="47" t="s">
        <v>569</v>
      </c>
      <c r="R74" s="47"/>
      <c r="S74" s="48" t="s">
        <v>2220</v>
      </c>
      <c r="T74" s="48" t="s">
        <v>2253</v>
      </c>
      <c r="U74" t="str">
        <f>IF(COUNTIF('Survey 1 Papers'!$D:$D,D74)&gt;0,"Shared with S1","Unique")</f>
        <v>Unique</v>
      </c>
    </row>
    <row r="75" spans="1:21" x14ac:dyDescent="0.35">
      <c r="A75" s="47" t="s">
        <v>286</v>
      </c>
      <c r="B75" s="47" t="s">
        <v>2452</v>
      </c>
      <c r="C75" s="47">
        <v>2011</v>
      </c>
      <c r="D75" s="47" t="s">
        <v>2453</v>
      </c>
      <c r="E75" s="47" t="s">
        <v>2454</v>
      </c>
      <c r="F75" s="47" t="s">
        <v>2455</v>
      </c>
      <c r="G75" s="47" t="s">
        <v>2456</v>
      </c>
      <c r="H75" s="47" t="s">
        <v>2457</v>
      </c>
      <c r="I75" s="47" t="s">
        <v>226</v>
      </c>
      <c r="J75" s="47" t="s">
        <v>282</v>
      </c>
      <c r="K75" s="47" t="s">
        <v>283</v>
      </c>
      <c r="L75" s="47" t="s">
        <v>238</v>
      </c>
      <c r="M75" s="47" t="s">
        <v>275</v>
      </c>
      <c r="N75" s="47" t="s">
        <v>240</v>
      </c>
      <c r="O75" s="47" t="s">
        <v>2458</v>
      </c>
      <c r="P75" s="47"/>
      <c r="Q75" s="47" t="s">
        <v>569</v>
      </c>
      <c r="R75" s="47"/>
      <c r="S75" s="48" t="s">
        <v>2459</v>
      </c>
      <c r="T75" s="48" t="s">
        <v>2253</v>
      </c>
      <c r="U75" t="str">
        <f>IF(COUNTIF('Survey 1 Papers'!$D:$D,D75)&gt;0,"Shared with S1","Unique")</f>
        <v>Unique</v>
      </c>
    </row>
    <row r="76" spans="1:21" x14ac:dyDescent="0.35">
      <c r="A76" s="47" t="s">
        <v>286</v>
      </c>
      <c r="B76" s="47" t="s">
        <v>2460</v>
      </c>
      <c r="C76" s="47">
        <v>2015</v>
      </c>
      <c r="D76" s="47" t="s">
        <v>2461</v>
      </c>
      <c r="E76" s="47" t="s">
        <v>2462</v>
      </c>
      <c r="F76" s="47" t="s">
        <v>2463</v>
      </c>
      <c r="G76" s="47" t="s">
        <v>549</v>
      </c>
      <c r="H76" s="47" t="s">
        <v>2464</v>
      </c>
      <c r="I76" s="47" t="s">
        <v>226</v>
      </c>
      <c r="J76" s="47" t="s">
        <v>282</v>
      </c>
      <c r="K76" s="47" t="s">
        <v>283</v>
      </c>
      <c r="L76" s="47" t="s">
        <v>238</v>
      </c>
      <c r="M76" s="47" t="s">
        <v>285</v>
      </c>
      <c r="N76" s="47" t="s">
        <v>238</v>
      </c>
      <c r="O76" s="47" t="s">
        <v>2465</v>
      </c>
      <c r="P76" s="47"/>
      <c r="Q76" s="47" t="s">
        <v>569</v>
      </c>
      <c r="R76" s="47"/>
      <c r="S76" s="48" t="s">
        <v>2466</v>
      </c>
      <c r="T76" s="48" t="s">
        <v>2253</v>
      </c>
      <c r="U76" t="str">
        <f>IF(COUNTIF('Survey 1 Papers'!$D:$D,D76)&gt;0,"Shared with S1","Unique")</f>
        <v>Unique</v>
      </c>
    </row>
    <row r="77" spans="1:21" x14ac:dyDescent="0.35">
      <c r="A77" s="47" t="s">
        <v>286</v>
      </c>
      <c r="B77" s="47" t="s">
        <v>2467</v>
      </c>
      <c r="C77" s="47">
        <v>2016</v>
      </c>
      <c r="D77" s="47" t="s">
        <v>2468</v>
      </c>
      <c r="E77" s="47" t="s">
        <v>2469</v>
      </c>
      <c r="F77" s="47" t="s">
        <v>2470</v>
      </c>
      <c r="G77" s="47" t="s">
        <v>174</v>
      </c>
      <c r="H77" s="47" t="s">
        <v>2471</v>
      </c>
      <c r="I77" s="47" t="s">
        <v>227</v>
      </c>
      <c r="J77" s="47" t="s">
        <v>274</v>
      </c>
      <c r="K77" s="47" t="s">
        <v>283</v>
      </c>
      <c r="L77" s="47" t="s">
        <v>284</v>
      </c>
      <c r="M77" s="47" t="s">
        <v>275</v>
      </c>
      <c r="N77" s="47" t="s">
        <v>496</v>
      </c>
      <c r="O77" s="47" t="s">
        <v>2472</v>
      </c>
      <c r="P77" s="47"/>
      <c r="Q77" s="47" t="s">
        <v>569</v>
      </c>
      <c r="R77" s="47"/>
      <c r="S77" s="48" t="s">
        <v>2236</v>
      </c>
      <c r="T77" s="48" t="s">
        <v>2253</v>
      </c>
      <c r="U77" t="str">
        <f>IF(COUNTIF('Survey 1 Papers'!$D:$D,D77)&gt;0,"Shared with S1","Unique")</f>
        <v>Unique</v>
      </c>
    </row>
    <row r="78" spans="1:21" x14ac:dyDescent="0.35">
      <c r="A78" s="47" t="s">
        <v>286</v>
      </c>
      <c r="B78" s="47" t="s">
        <v>2473</v>
      </c>
      <c r="C78" s="47">
        <v>2016</v>
      </c>
      <c r="D78" s="47" t="s">
        <v>2474</v>
      </c>
      <c r="E78" s="47" t="s">
        <v>2475</v>
      </c>
      <c r="F78" s="47" t="s">
        <v>2476</v>
      </c>
      <c r="G78" s="47" t="s">
        <v>2456</v>
      </c>
      <c r="H78" s="47" t="s">
        <v>2477</v>
      </c>
      <c r="I78" s="47" t="s">
        <v>225</v>
      </c>
      <c r="J78" s="47" t="s">
        <v>282</v>
      </c>
      <c r="K78" s="47" t="s">
        <v>283</v>
      </c>
      <c r="L78" s="47" t="s">
        <v>238</v>
      </c>
      <c r="M78" s="47" t="s">
        <v>285</v>
      </c>
      <c r="N78" s="47" t="s">
        <v>2478</v>
      </c>
      <c r="O78" s="47" t="s">
        <v>2479</v>
      </c>
      <c r="P78" s="47"/>
      <c r="Q78" s="47" t="s">
        <v>569</v>
      </c>
      <c r="R78" s="47"/>
      <c r="S78" s="48" t="s">
        <v>2480</v>
      </c>
      <c r="T78" s="48" t="s">
        <v>2253</v>
      </c>
      <c r="U78" t="str">
        <f>IF(COUNTIF('Survey 1 Papers'!$D:$D,D78)&gt;0,"Shared with S1","Unique")</f>
        <v>Unique</v>
      </c>
    </row>
    <row r="79" spans="1:21" x14ac:dyDescent="0.35">
      <c r="A79" s="47" t="s">
        <v>286</v>
      </c>
      <c r="B79" s="47" t="s">
        <v>2481</v>
      </c>
      <c r="C79" s="47">
        <v>2017</v>
      </c>
      <c r="D79" s="47" t="s">
        <v>2482</v>
      </c>
      <c r="E79" s="47" t="s">
        <v>2483</v>
      </c>
      <c r="F79" s="47" t="s">
        <v>2484</v>
      </c>
      <c r="G79" s="47" t="s">
        <v>183</v>
      </c>
      <c r="H79" s="47" t="s">
        <v>2485</v>
      </c>
      <c r="I79" s="47" t="s">
        <v>227</v>
      </c>
      <c r="J79" s="47" t="s">
        <v>282</v>
      </c>
      <c r="K79" s="47" t="s">
        <v>283</v>
      </c>
      <c r="L79" s="47" t="s">
        <v>238</v>
      </c>
      <c r="M79" s="47" t="s">
        <v>275</v>
      </c>
      <c r="N79" s="47" t="s">
        <v>899</v>
      </c>
      <c r="O79" s="47" t="s">
        <v>2486</v>
      </c>
      <c r="P79" s="47"/>
      <c r="Q79" s="47" t="s">
        <v>569</v>
      </c>
      <c r="R79" s="47"/>
      <c r="S79" s="48" t="s">
        <v>2205</v>
      </c>
      <c r="T79" s="48" t="s">
        <v>2253</v>
      </c>
      <c r="U79" t="str">
        <f>IF(COUNTIF('Survey 1 Papers'!$D:$D,D79)&gt;0,"Shared with S1","Unique")</f>
        <v>Unique</v>
      </c>
    </row>
    <row r="80" spans="1:21" x14ac:dyDescent="0.35">
      <c r="A80" s="47" t="s">
        <v>2487</v>
      </c>
      <c r="B80" s="47" t="s">
        <v>2488</v>
      </c>
      <c r="C80" s="47">
        <v>1983</v>
      </c>
      <c r="D80" s="47" t="s">
        <v>2489</v>
      </c>
      <c r="E80" s="47" t="s">
        <v>2490</v>
      </c>
      <c r="F80" s="47" t="s">
        <v>2491</v>
      </c>
      <c r="G80" s="47" t="s">
        <v>314</v>
      </c>
      <c r="H80" s="47" t="s">
        <v>2492</v>
      </c>
      <c r="I80" s="47" t="s">
        <v>225</v>
      </c>
      <c r="J80" s="47" t="s">
        <v>282</v>
      </c>
      <c r="K80" s="47" t="s">
        <v>1810</v>
      </c>
      <c r="L80" s="47" t="s">
        <v>238</v>
      </c>
      <c r="M80" s="47" t="s">
        <v>272</v>
      </c>
      <c r="N80" s="47" t="s">
        <v>899</v>
      </c>
      <c r="O80" s="47" t="s">
        <v>280</v>
      </c>
      <c r="P80" s="47"/>
      <c r="Q80" s="47" t="s">
        <v>569</v>
      </c>
      <c r="R80" s="47"/>
      <c r="S80" s="48" t="s">
        <v>2493</v>
      </c>
      <c r="T80" s="48" t="s">
        <v>2253</v>
      </c>
      <c r="U80" t="str">
        <f>IF(COUNTIF('Survey 1 Papers'!$D:$D,D80)&gt;0,"Shared with S1","Unique")</f>
        <v>Unique</v>
      </c>
    </row>
    <row r="81" spans="1:21" x14ac:dyDescent="0.35">
      <c r="A81" s="47" t="s">
        <v>2487</v>
      </c>
      <c r="B81" s="47" t="s">
        <v>2488</v>
      </c>
      <c r="C81" s="47">
        <v>1974</v>
      </c>
      <c r="D81" s="47" t="s">
        <v>2494</v>
      </c>
      <c r="E81" s="47" t="s">
        <v>2495</v>
      </c>
      <c r="F81" s="47" t="s">
        <v>2496</v>
      </c>
      <c r="G81" s="47" t="s">
        <v>819</v>
      </c>
      <c r="H81" s="47" t="s">
        <v>2497</v>
      </c>
      <c r="I81" s="47" t="s">
        <v>225</v>
      </c>
      <c r="J81" s="47" t="s">
        <v>282</v>
      </c>
      <c r="K81" s="47" t="s">
        <v>1810</v>
      </c>
      <c r="L81" s="47" t="s">
        <v>238</v>
      </c>
      <c r="M81" s="47" t="s">
        <v>272</v>
      </c>
      <c r="N81" s="47" t="s">
        <v>899</v>
      </c>
      <c r="O81" s="47" t="s">
        <v>280</v>
      </c>
      <c r="P81" s="47"/>
      <c r="Q81" s="47" t="s">
        <v>569</v>
      </c>
      <c r="R81" s="47"/>
      <c r="S81" s="48" t="s">
        <v>2498</v>
      </c>
      <c r="T81" s="48" t="s">
        <v>2312</v>
      </c>
      <c r="U81" t="str">
        <f>IF(COUNTIF('Survey 1 Papers'!$D:$D,D81)&gt;0,"Shared with S1","Unique")</f>
        <v>Unique</v>
      </c>
    </row>
    <row r="82" spans="1:21" x14ac:dyDescent="0.35">
      <c r="A82" s="47" t="s">
        <v>2487</v>
      </c>
      <c r="B82" s="47" t="s">
        <v>2499</v>
      </c>
      <c r="C82" s="47">
        <v>1954</v>
      </c>
      <c r="D82" s="47" t="s">
        <v>2500</v>
      </c>
      <c r="E82" s="47" t="s">
        <v>1943</v>
      </c>
      <c r="F82" s="47" t="s">
        <v>2501</v>
      </c>
      <c r="G82" s="47" t="s">
        <v>291</v>
      </c>
      <c r="H82" s="47" t="s">
        <v>2502</v>
      </c>
      <c r="I82" s="47" t="s">
        <v>226</v>
      </c>
      <c r="J82" s="47" t="s">
        <v>282</v>
      </c>
      <c r="K82" s="47" t="s">
        <v>1810</v>
      </c>
      <c r="L82" s="47" t="s">
        <v>238</v>
      </c>
      <c r="M82" s="47" t="s">
        <v>272</v>
      </c>
      <c r="N82" s="47" t="s">
        <v>476</v>
      </c>
      <c r="O82" s="47" t="s">
        <v>280</v>
      </c>
      <c r="P82" s="47"/>
      <c r="Q82" s="47" t="s">
        <v>569</v>
      </c>
      <c r="R82" s="47"/>
      <c r="S82" s="48" t="s">
        <v>2503</v>
      </c>
      <c r="T82" s="48" t="s">
        <v>2253</v>
      </c>
      <c r="U82" t="str">
        <f>IF(COUNTIF('Survey 1 Papers'!$D:$D,D82)&gt;0,"Shared with S1","Unique")</f>
        <v>Unique</v>
      </c>
    </row>
    <row r="83" spans="1:21" x14ac:dyDescent="0.35">
      <c r="A83" s="47" t="s">
        <v>2487</v>
      </c>
      <c r="B83" s="47" t="s">
        <v>2504</v>
      </c>
      <c r="C83" s="47">
        <v>1961</v>
      </c>
      <c r="D83" s="47" t="s">
        <v>2505</v>
      </c>
      <c r="E83" s="47" t="s">
        <v>2506</v>
      </c>
      <c r="F83" s="47" t="s">
        <v>2507</v>
      </c>
      <c r="G83" s="47" t="s">
        <v>583</v>
      </c>
      <c r="H83" s="47" t="s">
        <v>2508</v>
      </c>
      <c r="I83" s="47" t="s">
        <v>226</v>
      </c>
      <c r="J83" s="47" t="s">
        <v>282</v>
      </c>
      <c r="K83" s="47" t="s">
        <v>1810</v>
      </c>
      <c r="L83" s="47" t="s">
        <v>238</v>
      </c>
      <c r="M83" s="47" t="s">
        <v>272</v>
      </c>
      <c r="N83" s="47" t="s">
        <v>900</v>
      </c>
      <c r="O83" s="47" t="s">
        <v>280</v>
      </c>
      <c r="P83" s="47"/>
      <c r="Q83" s="47" t="s">
        <v>569</v>
      </c>
      <c r="R83" s="47"/>
      <c r="S83" s="48" t="s">
        <v>2498</v>
      </c>
      <c r="T83" s="48" t="s">
        <v>2312</v>
      </c>
      <c r="U83" t="str">
        <f>IF(COUNTIF('Survey 1 Papers'!$D:$D,D83)&gt;0,"Shared with S1","Unique")</f>
        <v>Unique</v>
      </c>
    </row>
    <row r="84" spans="1:21" x14ac:dyDescent="0.35">
      <c r="A84" s="47" t="s">
        <v>2487</v>
      </c>
      <c r="B84" s="47" t="s">
        <v>2509</v>
      </c>
      <c r="C84" s="47">
        <v>1992</v>
      </c>
      <c r="D84" s="47" t="s">
        <v>2510</v>
      </c>
      <c r="E84" s="47" t="s">
        <v>2511</v>
      </c>
      <c r="F84" s="47" t="s">
        <v>2512</v>
      </c>
      <c r="G84" s="47" t="s">
        <v>583</v>
      </c>
      <c r="H84" s="47" t="s">
        <v>2513</v>
      </c>
      <c r="I84" s="47" t="s">
        <v>226</v>
      </c>
      <c r="J84" s="47" t="s">
        <v>282</v>
      </c>
      <c r="K84" s="47" t="s">
        <v>1810</v>
      </c>
      <c r="L84" s="47" t="s">
        <v>238</v>
      </c>
      <c r="M84" s="47" t="s">
        <v>272</v>
      </c>
      <c r="N84" s="47" t="s">
        <v>899</v>
      </c>
      <c r="O84" s="47" t="s">
        <v>280</v>
      </c>
      <c r="P84" s="47"/>
      <c r="Q84" s="47" t="s">
        <v>569</v>
      </c>
      <c r="R84" s="47"/>
      <c r="S84" s="48" t="s">
        <v>2514</v>
      </c>
      <c r="T84" s="48" t="s">
        <v>2312</v>
      </c>
      <c r="U84" t="str">
        <f>IF(COUNTIF('Survey 1 Papers'!$D:$D,D84)&gt;0,"Shared with S1","Unique")</f>
        <v>Unique</v>
      </c>
    </row>
    <row r="85" spans="1:21" x14ac:dyDescent="0.35">
      <c r="A85" s="47" t="s">
        <v>2487</v>
      </c>
      <c r="B85" s="47" t="s">
        <v>2515</v>
      </c>
      <c r="C85" s="47">
        <v>1932</v>
      </c>
      <c r="D85" s="47" t="s">
        <v>2516</v>
      </c>
      <c r="E85" s="47" t="s">
        <v>2517</v>
      </c>
      <c r="F85" s="47" t="s">
        <v>2518</v>
      </c>
      <c r="G85" s="47" t="s">
        <v>291</v>
      </c>
      <c r="H85" s="47" t="s">
        <v>2519</v>
      </c>
      <c r="I85" s="47" t="s">
        <v>226</v>
      </c>
      <c r="J85" s="47" t="s">
        <v>273</v>
      </c>
      <c r="K85" s="47" t="s">
        <v>271</v>
      </c>
      <c r="L85" s="47" t="s">
        <v>238</v>
      </c>
      <c r="M85" s="47" t="s">
        <v>272</v>
      </c>
      <c r="N85" s="47" t="s">
        <v>506</v>
      </c>
      <c r="O85" s="47" t="s">
        <v>2520</v>
      </c>
      <c r="P85" s="47"/>
      <c r="Q85" s="47" t="s">
        <v>569</v>
      </c>
      <c r="R85" s="47"/>
      <c r="S85" s="48" t="s">
        <v>2521</v>
      </c>
      <c r="T85" s="48" t="s">
        <v>2312</v>
      </c>
      <c r="U85" t="str">
        <f>IF(COUNTIF('Survey 1 Papers'!$D:$D,D85)&gt;0,"Shared with S1","Unique")</f>
        <v>Unique</v>
      </c>
    </row>
    <row r="86" spans="1:21" x14ac:dyDescent="0.35">
      <c r="A86" s="47" t="s">
        <v>2522</v>
      </c>
      <c r="B86" s="47" t="s">
        <v>2523</v>
      </c>
      <c r="C86" s="47">
        <v>2019</v>
      </c>
      <c r="D86" s="47" t="s">
        <v>2524</v>
      </c>
      <c r="E86" s="47" t="s">
        <v>2525</v>
      </c>
      <c r="F86" s="47" t="s">
        <v>2526</v>
      </c>
      <c r="G86" s="47" t="s">
        <v>174</v>
      </c>
      <c r="H86" s="47" t="s">
        <v>2527</v>
      </c>
      <c r="I86" s="47" t="s">
        <v>225</v>
      </c>
      <c r="J86" s="47" t="s">
        <v>276</v>
      </c>
      <c r="K86" s="47" t="s">
        <v>283</v>
      </c>
      <c r="L86" s="47" t="s">
        <v>284</v>
      </c>
      <c r="M86" s="47" t="s">
        <v>285</v>
      </c>
      <c r="N86" s="47" t="s">
        <v>235</v>
      </c>
      <c r="O86" s="47" t="s">
        <v>2528</v>
      </c>
      <c r="P86" s="47"/>
      <c r="Q86" s="47" t="s">
        <v>569</v>
      </c>
      <c r="R86" s="47"/>
      <c r="S86" s="48" t="s">
        <v>2529</v>
      </c>
      <c r="T86" s="48" t="s">
        <v>2253</v>
      </c>
      <c r="U86" t="str">
        <f>IF(COUNTIF('Survey 1 Papers'!$D:$D,D86)&gt;0,"Shared with S1","Unique")</f>
        <v>Unique</v>
      </c>
    </row>
    <row r="87" spans="1:21" x14ac:dyDescent="0.35">
      <c r="A87" s="47" t="s">
        <v>2522</v>
      </c>
      <c r="B87" s="47" t="s">
        <v>2530</v>
      </c>
      <c r="C87" s="47">
        <v>2018</v>
      </c>
      <c r="D87" s="47" t="s">
        <v>2531</v>
      </c>
      <c r="E87" s="47" t="s">
        <v>2532</v>
      </c>
      <c r="F87" s="47" t="s">
        <v>2533</v>
      </c>
      <c r="G87" s="47" t="s">
        <v>2534</v>
      </c>
      <c r="H87" s="47" t="s">
        <v>2532</v>
      </c>
      <c r="I87" s="47" t="s">
        <v>226</v>
      </c>
      <c r="J87" s="47" t="s">
        <v>276</v>
      </c>
      <c r="K87" s="47" t="s">
        <v>283</v>
      </c>
      <c r="L87" s="47" t="s">
        <v>284</v>
      </c>
      <c r="M87" s="47" t="s">
        <v>275</v>
      </c>
      <c r="N87" s="47" t="s">
        <v>235</v>
      </c>
      <c r="O87" s="47" t="s">
        <v>2535</v>
      </c>
      <c r="P87" s="47"/>
      <c r="Q87" s="47" t="s">
        <v>569</v>
      </c>
      <c r="R87" s="47"/>
      <c r="S87" s="48" t="s">
        <v>2536</v>
      </c>
      <c r="T87" s="48" t="s">
        <v>2253</v>
      </c>
      <c r="U87" t="str">
        <f>IF(COUNTIF('Survey 1 Papers'!$D:$D,D87)&gt;0,"Shared with S1","Unique")</f>
        <v>Unique</v>
      </c>
    </row>
    <row r="88" spans="1:21" x14ac:dyDescent="0.35">
      <c r="A88" s="47" t="s">
        <v>2522</v>
      </c>
      <c r="B88" s="47" t="s">
        <v>2537</v>
      </c>
      <c r="C88" s="47">
        <v>2021</v>
      </c>
      <c r="D88" s="47" t="s">
        <v>2538</v>
      </c>
      <c r="E88" s="47" t="s">
        <v>2539</v>
      </c>
      <c r="F88" s="47" t="s">
        <v>2540</v>
      </c>
      <c r="G88" s="47" t="s">
        <v>174</v>
      </c>
      <c r="H88" s="47" t="s">
        <v>2541</v>
      </c>
      <c r="I88" s="47" t="s">
        <v>226</v>
      </c>
      <c r="J88" s="47" t="s">
        <v>276</v>
      </c>
      <c r="K88" s="47" t="s">
        <v>283</v>
      </c>
      <c r="L88" s="47" t="s">
        <v>284</v>
      </c>
      <c r="M88" s="47" t="s">
        <v>275</v>
      </c>
      <c r="N88" s="47" t="s">
        <v>235</v>
      </c>
      <c r="O88" s="47" t="s">
        <v>2542</v>
      </c>
      <c r="P88" s="47"/>
      <c r="Q88" s="47" t="s">
        <v>569</v>
      </c>
      <c r="R88" s="47"/>
      <c r="S88" s="48" t="s">
        <v>2543</v>
      </c>
      <c r="T88" s="48" t="s">
        <v>2253</v>
      </c>
      <c r="U88" t="str">
        <f>IF(COUNTIF('Survey 1 Papers'!$D:$D,D88)&gt;0,"Shared with S1","Unique")</f>
        <v>Unique</v>
      </c>
    </row>
    <row r="89" spans="1:21" x14ac:dyDescent="0.35">
      <c r="A89" s="47" t="s">
        <v>2522</v>
      </c>
      <c r="B89" s="47" t="s">
        <v>2544</v>
      </c>
      <c r="C89" s="47">
        <v>2021</v>
      </c>
      <c r="D89" s="47" t="s">
        <v>2545</v>
      </c>
      <c r="E89" s="47" t="s">
        <v>2546</v>
      </c>
      <c r="F89" s="47" t="s">
        <v>2547</v>
      </c>
      <c r="G89" s="47" t="s">
        <v>549</v>
      </c>
      <c r="H89" s="47" t="s">
        <v>2548</v>
      </c>
      <c r="I89" s="47" t="s">
        <v>225</v>
      </c>
      <c r="J89" s="47" t="s">
        <v>277</v>
      </c>
      <c r="K89" s="47" t="s">
        <v>283</v>
      </c>
      <c r="L89" s="47" t="s">
        <v>284</v>
      </c>
      <c r="M89" s="47" t="s">
        <v>285</v>
      </c>
      <c r="N89" s="47" t="s">
        <v>235</v>
      </c>
      <c r="O89" s="47" t="s">
        <v>2549</v>
      </c>
      <c r="P89" s="47"/>
      <c r="Q89" s="47" t="s">
        <v>569</v>
      </c>
      <c r="R89" s="47"/>
      <c r="S89" s="48" t="s">
        <v>2550</v>
      </c>
      <c r="T89" s="48" t="s">
        <v>2253</v>
      </c>
      <c r="U89" t="str">
        <f>IF(COUNTIF('Survey 1 Papers'!$D:$D,D89)&gt;0,"Shared with S1","Unique")</f>
        <v>Unique</v>
      </c>
    </row>
    <row r="90" spans="1:21" x14ac:dyDescent="0.35">
      <c r="A90" s="47" t="s">
        <v>2522</v>
      </c>
      <c r="B90" s="47" t="s">
        <v>2551</v>
      </c>
      <c r="C90" s="47">
        <v>2013</v>
      </c>
      <c r="D90" s="47" t="s">
        <v>2552</v>
      </c>
      <c r="E90" s="47" t="s">
        <v>2553</v>
      </c>
      <c r="F90" s="47" t="s">
        <v>2554</v>
      </c>
      <c r="G90" s="47" t="s">
        <v>2534</v>
      </c>
      <c r="H90" s="47" t="s">
        <v>2553</v>
      </c>
      <c r="I90" s="47" t="s">
        <v>226</v>
      </c>
      <c r="J90" s="47" t="s">
        <v>276</v>
      </c>
      <c r="K90" s="47" t="s">
        <v>283</v>
      </c>
      <c r="L90" s="47" t="s">
        <v>238</v>
      </c>
      <c r="M90" s="47" t="s">
        <v>275</v>
      </c>
      <c r="N90" s="47" t="s">
        <v>235</v>
      </c>
      <c r="O90" s="47" t="s">
        <v>2555</v>
      </c>
      <c r="P90" s="47"/>
      <c r="Q90" s="47" t="s">
        <v>569</v>
      </c>
      <c r="R90" s="47"/>
      <c r="S90" s="48" t="s">
        <v>2556</v>
      </c>
      <c r="T90" s="48" t="s">
        <v>2312</v>
      </c>
      <c r="U90" t="str">
        <f>IF(COUNTIF('Survey 1 Papers'!$D:$D,D90)&gt;0,"Shared with S1","Unique")</f>
        <v>Unique</v>
      </c>
    </row>
    <row r="91" spans="1:21" x14ac:dyDescent="0.35">
      <c r="A91" s="47" t="s">
        <v>2522</v>
      </c>
      <c r="B91" s="47" t="s">
        <v>2557</v>
      </c>
      <c r="C91" s="47">
        <v>2016</v>
      </c>
      <c r="D91" s="47" t="s">
        <v>2558</v>
      </c>
      <c r="E91" s="47" t="s">
        <v>2559</v>
      </c>
      <c r="F91" s="47" t="s">
        <v>2560</v>
      </c>
      <c r="G91" s="47" t="s">
        <v>2561</v>
      </c>
      <c r="H91" s="47" t="s">
        <v>2562</v>
      </c>
      <c r="I91" s="47" t="s">
        <v>226</v>
      </c>
      <c r="J91" s="47" t="s">
        <v>276</v>
      </c>
      <c r="K91" s="47" t="s">
        <v>283</v>
      </c>
      <c r="L91" s="47" t="s">
        <v>284</v>
      </c>
      <c r="M91" s="47" t="s">
        <v>275</v>
      </c>
      <c r="N91" s="47" t="s">
        <v>235</v>
      </c>
      <c r="O91" s="47" t="s">
        <v>2563</v>
      </c>
      <c r="P91" s="47"/>
      <c r="Q91" s="47" t="s">
        <v>569</v>
      </c>
      <c r="R91" s="47"/>
      <c r="S91" s="48" t="s">
        <v>2564</v>
      </c>
      <c r="T91" s="48" t="s">
        <v>2312</v>
      </c>
      <c r="U91" t="str">
        <f>IF(COUNTIF('Survey 1 Papers'!$D:$D,D91)&gt;0,"Shared with S1","Unique")</f>
        <v>Unique</v>
      </c>
    </row>
    <row r="92" spans="1:21" x14ac:dyDescent="0.35">
      <c r="A92" s="47" t="s">
        <v>2522</v>
      </c>
      <c r="B92" s="47" t="s">
        <v>2565</v>
      </c>
      <c r="C92" s="47">
        <v>2024</v>
      </c>
      <c r="D92" s="47" t="s">
        <v>2566</v>
      </c>
      <c r="E92" s="47" t="s">
        <v>2567</v>
      </c>
      <c r="F92" s="47" t="s">
        <v>2568</v>
      </c>
      <c r="G92" s="47" t="s">
        <v>174</v>
      </c>
      <c r="H92" s="47" t="s">
        <v>2569</v>
      </c>
      <c r="I92" s="47" t="s">
        <v>226</v>
      </c>
      <c r="J92" s="47" t="s">
        <v>282</v>
      </c>
      <c r="K92" s="47" t="s">
        <v>1810</v>
      </c>
      <c r="L92" s="47" t="s">
        <v>284</v>
      </c>
      <c r="M92" s="47" t="s">
        <v>285</v>
      </c>
      <c r="N92" s="47" t="s">
        <v>899</v>
      </c>
      <c r="O92" s="47" t="s">
        <v>2570</v>
      </c>
      <c r="P92" s="47"/>
      <c r="Q92" s="47" t="s">
        <v>569</v>
      </c>
      <c r="R92" s="47"/>
      <c r="S92" s="48" t="s">
        <v>2571</v>
      </c>
      <c r="T92" s="48" t="s">
        <v>2253</v>
      </c>
      <c r="U92" t="str">
        <f>IF(COUNTIF('Survey 1 Papers'!$D:$D,D92)&gt;0,"Shared with S1","Unique")</f>
        <v>Unique</v>
      </c>
    </row>
    <row r="93" spans="1:21" x14ac:dyDescent="0.35">
      <c r="A93" s="47" t="s">
        <v>2522</v>
      </c>
      <c r="B93" s="47" t="s">
        <v>2572</v>
      </c>
      <c r="C93" s="47">
        <v>2023</v>
      </c>
      <c r="D93" s="47" t="s">
        <v>2573</v>
      </c>
      <c r="E93" s="47" t="s">
        <v>2574</v>
      </c>
      <c r="F93" s="47" t="s">
        <v>2575</v>
      </c>
      <c r="G93" s="47" t="s">
        <v>174</v>
      </c>
      <c r="H93" s="47" t="s">
        <v>2576</v>
      </c>
      <c r="I93" s="47" t="s">
        <v>226</v>
      </c>
      <c r="J93" s="47" t="s">
        <v>282</v>
      </c>
      <c r="K93" s="47" t="s">
        <v>1810</v>
      </c>
      <c r="L93" s="47" t="s">
        <v>284</v>
      </c>
      <c r="M93" s="47" t="s">
        <v>285</v>
      </c>
      <c r="N93" s="47" t="s">
        <v>899</v>
      </c>
      <c r="O93" s="47" t="s">
        <v>2577</v>
      </c>
      <c r="P93" s="47"/>
      <c r="Q93" s="47" t="s">
        <v>569</v>
      </c>
      <c r="R93" s="47"/>
      <c r="S93" s="48" t="s">
        <v>2578</v>
      </c>
      <c r="T93" s="48" t="s">
        <v>2312</v>
      </c>
      <c r="U93" t="str">
        <f>IF(COUNTIF('Survey 1 Papers'!$D:$D,D93)&gt;0,"Shared with S1","Unique")</f>
        <v>Unique</v>
      </c>
    </row>
    <row r="94" spans="1:21" x14ac:dyDescent="0.35">
      <c r="A94" s="47" t="s">
        <v>1800</v>
      </c>
      <c r="B94" s="47" t="s">
        <v>2579</v>
      </c>
      <c r="C94" s="47">
        <v>2010</v>
      </c>
      <c r="D94" s="47" t="s">
        <v>2580</v>
      </c>
      <c r="E94" s="47" t="s">
        <v>2581</v>
      </c>
      <c r="F94" s="47" t="s">
        <v>2582</v>
      </c>
      <c r="G94" s="47" t="s">
        <v>178</v>
      </c>
      <c r="H94" s="47" t="s">
        <v>2583</v>
      </c>
      <c r="I94" s="47" t="s">
        <v>225</v>
      </c>
      <c r="J94" s="47" t="s">
        <v>282</v>
      </c>
      <c r="K94" s="47" t="s">
        <v>1810</v>
      </c>
      <c r="L94" s="47" t="s">
        <v>238</v>
      </c>
      <c r="M94" s="47" t="s">
        <v>275</v>
      </c>
      <c r="N94" s="47" t="s">
        <v>478</v>
      </c>
      <c r="O94" s="47" t="s">
        <v>2584</v>
      </c>
      <c r="P94" s="47"/>
      <c r="Q94" s="47" t="s">
        <v>569</v>
      </c>
      <c r="R94" s="47"/>
      <c r="S94" s="48" t="s">
        <v>2585</v>
      </c>
      <c r="T94" s="48" t="s">
        <v>2312</v>
      </c>
      <c r="U94" t="str">
        <f>IF(COUNTIF('Survey 1 Papers'!$D:$D,D94)&gt;0,"Shared with S1","Unique")</f>
        <v>Unique</v>
      </c>
    </row>
    <row r="95" spans="1:21" x14ac:dyDescent="0.35">
      <c r="A95" s="47" t="s">
        <v>1800</v>
      </c>
      <c r="B95" s="47" t="s">
        <v>2586</v>
      </c>
      <c r="C95" s="47">
        <v>2013</v>
      </c>
      <c r="D95" s="47" t="s">
        <v>2587</v>
      </c>
      <c r="E95" s="47" t="s">
        <v>2588</v>
      </c>
      <c r="F95" s="47" t="s">
        <v>2589</v>
      </c>
      <c r="G95" s="47" t="s">
        <v>297</v>
      </c>
      <c r="H95" s="47" t="s">
        <v>2590</v>
      </c>
      <c r="I95" s="47" t="s">
        <v>226</v>
      </c>
      <c r="J95" s="47" t="s">
        <v>282</v>
      </c>
      <c r="K95" s="47" t="s">
        <v>1810</v>
      </c>
      <c r="L95" s="47" t="s">
        <v>238</v>
      </c>
      <c r="M95" s="47" t="s">
        <v>275</v>
      </c>
      <c r="N95" s="47" t="s">
        <v>478</v>
      </c>
      <c r="O95" s="47" t="s">
        <v>2591</v>
      </c>
      <c r="P95" s="47"/>
      <c r="Q95" s="47" t="s">
        <v>569</v>
      </c>
      <c r="R95" s="47"/>
      <c r="S95" s="48" t="s">
        <v>2585</v>
      </c>
      <c r="T95" s="48" t="s">
        <v>2312</v>
      </c>
      <c r="U95" t="str">
        <f>IF(COUNTIF('Survey 1 Papers'!$D:$D,D95)&gt;0,"Shared with S1","Unique")</f>
        <v>Unique</v>
      </c>
    </row>
    <row r="96" spans="1:21" x14ac:dyDescent="0.35">
      <c r="A96" s="47" t="s">
        <v>1800</v>
      </c>
      <c r="B96" s="47" t="s">
        <v>2592</v>
      </c>
      <c r="C96" s="47">
        <v>2000</v>
      </c>
      <c r="D96" s="47" t="s">
        <v>2593</v>
      </c>
      <c r="E96" s="47" t="s">
        <v>2594</v>
      </c>
      <c r="F96" s="47" t="s">
        <v>2595</v>
      </c>
      <c r="G96" s="47" t="s">
        <v>2596</v>
      </c>
      <c r="H96" s="47" t="s">
        <v>2597</v>
      </c>
      <c r="I96" s="47" t="s">
        <v>225</v>
      </c>
      <c r="J96" s="47" t="s">
        <v>273</v>
      </c>
      <c r="K96" s="47" t="s">
        <v>271</v>
      </c>
      <c r="L96" s="47" t="s">
        <v>238</v>
      </c>
      <c r="M96" s="47" t="s">
        <v>275</v>
      </c>
      <c r="N96" s="47" t="s">
        <v>240</v>
      </c>
      <c r="O96" s="47" t="s">
        <v>2598</v>
      </c>
      <c r="P96" s="47"/>
      <c r="Q96" s="47" t="s">
        <v>569</v>
      </c>
      <c r="R96" s="47"/>
      <c r="S96" s="48" t="s">
        <v>2599</v>
      </c>
      <c r="T96" s="48" t="s">
        <v>2312</v>
      </c>
      <c r="U96" t="str">
        <f>IF(COUNTIF('Survey 1 Papers'!$D:$D,D96)&gt;0,"Shared with S1","Unique")</f>
        <v>Unique</v>
      </c>
    </row>
    <row r="97" spans="1:21" x14ac:dyDescent="0.35">
      <c r="A97" s="47" t="s">
        <v>2600</v>
      </c>
      <c r="B97" s="47" t="s">
        <v>2601</v>
      </c>
      <c r="C97" s="47">
        <v>2018</v>
      </c>
      <c r="D97" s="47" t="s">
        <v>2602</v>
      </c>
      <c r="E97" s="47" t="s">
        <v>2603</v>
      </c>
      <c r="F97" s="47" t="s">
        <v>2604</v>
      </c>
      <c r="G97" s="47" t="s">
        <v>174</v>
      </c>
      <c r="H97" s="47" t="s">
        <v>2605</v>
      </c>
      <c r="I97" s="47" t="s">
        <v>226</v>
      </c>
      <c r="J97" s="47" t="s">
        <v>273</v>
      </c>
      <c r="K97" s="47" t="s">
        <v>271</v>
      </c>
      <c r="L97" s="47" t="s">
        <v>238</v>
      </c>
      <c r="M97" s="47" t="s">
        <v>272</v>
      </c>
      <c r="N97" s="47" t="s">
        <v>2606</v>
      </c>
      <c r="O97" s="47" t="s">
        <v>2607</v>
      </c>
      <c r="P97" s="47"/>
      <c r="Q97" s="47" t="s">
        <v>569</v>
      </c>
      <c r="R97" s="47"/>
      <c r="S97" s="48" t="s">
        <v>2608</v>
      </c>
      <c r="T97" s="48" t="s">
        <v>2312</v>
      </c>
      <c r="U97" t="str">
        <f>IF(COUNTIF('Survey 1 Papers'!$D:$D,D97)&gt;0,"Shared with S1","Unique")</f>
        <v>Unique</v>
      </c>
    </row>
    <row r="98" spans="1:21" x14ac:dyDescent="0.35">
      <c r="A98" s="47" t="s">
        <v>2600</v>
      </c>
      <c r="B98" s="47" t="s">
        <v>2609</v>
      </c>
      <c r="C98" s="47">
        <v>2020</v>
      </c>
      <c r="D98" s="47" t="s">
        <v>2610</v>
      </c>
      <c r="E98" s="47" t="s">
        <v>2611</v>
      </c>
      <c r="F98" s="47" t="s">
        <v>2612</v>
      </c>
      <c r="G98" s="47" t="s">
        <v>174</v>
      </c>
      <c r="H98" s="47" t="s">
        <v>2613</v>
      </c>
      <c r="I98" s="47" t="s">
        <v>227</v>
      </c>
      <c r="J98" s="47" t="s">
        <v>273</v>
      </c>
      <c r="K98" s="47" t="s">
        <v>271</v>
      </c>
      <c r="L98" s="47" t="s">
        <v>238</v>
      </c>
      <c r="M98" s="47" t="s">
        <v>272</v>
      </c>
      <c r="N98" s="47" t="s">
        <v>2606</v>
      </c>
      <c r="O98" s="47" t="s">
        <v>2607</v>
      </c>
      <c r="P98" s="47"/>
      <c r="Q98" s="47" t="s">
        <v>569</v>
      </c>
      <c r="R98" s="47"/>
      <c r="S98" s="48" t="s">
        <v>2608</v>
      </c>
      <c r="T98" s="48" t="s">
        <v>2312</v>
      </c>
      <c r="U98" t="str">
        <f>IF(COUNTIF('Survey 1 Papers'!$D:$D,D98)&gt;0,"Shared with S1","Unique")</f>
        <v>Unique</v>
      </c>
    </row>
    <row r="99" spans="1:21" x14ac:dyDescent="0.35">
      <c r="A99" s="47" t="s">
        <v>1935</v>
      </c>
      <c r="B99" s="47" t="s">
        <v>2614</v>
      </c>
      <c r="C99" s="47">
        <v>1960</v>
      </c>
      <c r="D99" s="47" t="s">
        <v>2615</v>
      </c>
      <c r="E99" s="47" t="s">
        <v>2616</v>
      </c>
      <c r="F99" s="47" t="s">
        <v>2617</v>
      </c>
      <c r="G99" s="47" t="s">
        <v>174</v>
      </c>
      <c r="H99" s="47" t="s">
        <v>2618</v>
      </c>
      <c r="I99" s="47" t="s">
        <v>225</v>
      </c>
      <c r="J99" s="47" t="s">
        <v>278</v>
      </c>
      <c r="K99" s="47" t="s">
        <v>280</v>
      </c>
      <c r="L99" s="47" t="s">
        <v>284</v>
      </c>
      <c r="M99" s="47" t="s">
        <v>272</v>
      </c>
      <c r="N99" s="47" t="s">
        <v>240</v>
      </c>
      <c r="O99" s="47" t="s">
        <v>2619</v>
      </c>
      <c r="P99" s="47"/>
      <c r="Q99" s="47" t="s">
        <v>569</v>
      </c>
      <c r="R99" s="47"/>
      <c r="S99" s="48" t="s">
        <v>2620</v>
      </c>
      <c r="T99" s="48" t="s">
        <v>2312</v>
      </c>
      <c r="U99" t="str">
        <f>IF(COUNTIF('Survey 1 Papers'!$D:$D,D99)&gt;0,"Shared with S1","Unique")</f>
        <v>Unique</v>
      </c>
    </row>
    <row r="100" spans="1:21" x14ac:dyDescent="0.35">
      <c r="A100" s="47" t="s">
        <v>1823</v>
      </c>
      <c r="B100" s="47" t="s">
        <v>2621</v>
      </c>
      <c r="C100" s="47">
        <v>2021</v>
      </c>
      <c r="D100" s="47" t="s">
        <v>2622</v>
      </c>
      <c r="E100" s="47" t="s">
        <v>2623</v>
      </c>
      <c r="F100" s="47" t="s">
        <v>2624</v>
      </c>
      <c r="G100" s="47" t="s">
        <v>175</v>
      </c>
      <c r="H100" s="47" t="s">
        <v>2625</v>
      </c>
      <c r="I100" s="47" t="s">
        <v>227</v>
      </c>
      <c r="J100" s="47" t="s">
        <v>279</v>
      </c>
      <c r="K100" s="47" t="s">
        <v>271</v>
      </c>
      <c r="L100" s="47" t="s">
        <v>284</v>
      </c>
      <c r="M100" s="47" t="s">
        <v>275</v>
      </c>
      <c r="N100" s="47" t="s">
        <v>2626</v>
      </c>
      <c r="O100" s="47" t="s">
        <v>2627</v>
      </c>
      <c r="P100" s="47"/>
      <c r="Q100" s="47" t="s">
        <v>569</v>
      </c>
      <c r="R100" s="47"/>
      <c r="S100" s="48" t="s">
        <v>2628</v>
      </c>
      <c r="T100" s="48" t="s">
        <v>2253</v>
      </c>
      <c r="U100" t="str">
        <f>IF(COUNTIF('Survey 1 Papers'!$D:$D,D100)&gt;0,"Shared with S1","Unique")</f>
        <v>Unique</v>
      </c>
    </row>
    <row r="101" spans="1:21" x14ac:dyDescent="0.35">
      <c r="A101" s="47" t="s">
        <v>332</v>
      </c>
      <c r="B101" s="47" t="s">
        <v>2629</v>
      </c>
      <c r="C101" s="47">
        <v>1999</v>
      </c>
      <c r="D101" s="47" t="s">
        <v>2630</v>
      </c>
      <c r="E101" s="47" t="s">
        <v>2631</v>
      </c>
      <c r="F101" s="47" t="s">
        <v>2632</v>
      </c>
      <c r="G101" s="47" t="s">
        <v>2633</v>
      </c>
      <c r="H101" s="47" t="s">
        <v>2634</v>
      </c>
      <c r="I101" s="47" t="s">
        <v>226</v>
      </c>
      <c r="J101" s="47" t="s">
        <v>274</v>
      </c>
      <c r="K101" s="47" t="s">
        <v>271</v>
      </c>
      <c r="L101" s="47" t="s">
        <v>238</v>
      </c>
      <c r="M101" s="47" t="s">
        <v>275</v>
      </c>
      <c r="N101" s="47" t="s">
        <v>240</v>
      </c>
      <c r="O101" s="47" t="s">
        <v>2635</v>
      </c>
      <c r="P101" s="47"/>
      <c r="Q101" s="47" t="s">
        <v>569</v>
      </c>
      <c r="R101" s="47"/>
      <c r="S101" s="48" t="s">
        <v>2211</v>
      </c>
      <c r="T101" s="48" t="s">
        <v>2312</v>
      </c>
      <c r="U101" t="str">
        <f>IF(COUNTIF('Survey 1 Papers'!$D:$D,D101)&gt;0,"Shared with S1","Unique")</f>
        <v>Unique</v>
      </c>
    </row>
    <row r="102" spans="1:21" x14ac:dyDescent="0.35">
      <c r="A102" s="47" t="s">
        <v>404</v>
      </c>
      <c r="B102" s="47" t="s">
        <v>2313</v>
      </c>
      <c r="C102" s="47">
        <v>2022</v>
      </c>
      <c r="D102" s="47" t="s">
        <v>2314</v>
      </c>
      <c r="E102" s="47" t="s">
        <v>2315</v>
      </c>
      <c r="F102" s="47" t="s">
        <v>2636</v>
      </c>
      <c r="G102" s="47" t="s">
        <v>174</v>
      </c>
      <c r="H102" s="47" t="s">
        <v>2317</v>
      </c>
      <c r="I102" s="47" t="s">
        <v>226</v>
      </c>
      <c r="J102" s="47" t="s">
        <v>276</v>
      </c>
      <c r="K102" s="47" t="s">
        <v>271</v>
      </c>
      <c r="L102" s="47" t="s">
        <v>238</v>
      </c>
      <c r="M102" s="47" t="s">
        <v>285</v>
      </c>
      <c r="N102" s="47" t="s">
        <v>233</v>
      </c>
      <c r="O102" s="47" t="s">
        <v>2637</v>
      </c>
      <c r="P102" s="47"/>
      <c r="Q102" s="47" t="s">
        <v>569</v>
      </c>
      <c r="R102" s="47"/>
      <c r="S102" s="48" t="s">
        <v>2638</v>
      </c>
      <c r="T102" s="48" t="s">
        <v>2253</v>
      </c>
      <c r="U102" t="str">
        <f>IF(COUNTIF('Survey 1 Papers'!$D:$D,D102)&gt;0,"Shared with S1","Unique")</f>
        <v>Shared with S1</v>
      </c>
    </row>
    <row r="103" spans="1:21" x14ac:dyDescent="0.35">
      <c r="A103" s="47" t="s">
        <v>18</v>
      </c>
      <c r="B103" s="47" t="s">
        <v>2246</v>
      </c>
      <c r="C103" s="47">
        <v>2019</v>
      </c>
      <c r="D103" s="47" t="s">
        <v>2247</v>
      </c>
      <c r="E103" s="47" t="s">
        <v>2248</v>
      </c>
      <c r="F103" s="47" t="s">
        <v>2639</v>
      </c>
      <c r="G103" s="47" t="s">
        <v>175</v>
      </c>
      <c r="H103" s="47" t="s">
        <v>2251</v>
      </c>
      <c r="I103" s="47" t="s">
        <v>226</v>
      </c>
      <c r="J103" s="47" t="s">
        <v>273</v>
      </c>
      <c r="K103" s="47" t="s">
        <v>271</v>
      </c>
      <c r="L103" s="47" t="s">
        <v>238</v>
      </c>
      <c r="M103" s="47" t="s">
        <v>285</v>
      </c>
      <c r="N103" s="47" t="s">
        <v>262</v>
      </c>
      <c r="O103" s="47" t="s">
        <v>2640</v>
      </c>
      <c r="P103" s="47"/>
      <c r="Q103" s="47" t="s">
        <v>569</v>
      </c>
      <c r="R103" s="47"/>
      <c r="S103" s="48" t="s">
        <v>2209</v>
      </c>
      <c r="T103" s="48" t="s">
        <v>2253</v>
      </c>
      <c r="U103" t="str">
        <f>IF(COUNTIF('Survey 1 Papers'!$D:$D,D103)&gt;0,"Shared with S1","Unique")</f>
        <v>Shared with S1</v>
      </c>
    </row>
    <row r="104" spans="1:21" x14ac:dyDescent="0.35">
      <c r="A104" s="47" t="s">
        <v>332</v>
      </c>
      <c r="B104" s="47" t="s">
        <v>3253</v>
      </c>
      <c r="C104" s="47">
        <v>2007</v>
      </c>
      <c r="D104" s="47" t="s">
        <v>3254</v>
      </c>
      <c r="E104" s="47" t="s">
        <v>3255</v>
      </c>
      <c r="F104" s="47" t="s">
        <v>3256</v>
      </c>
      <c r="G104" s="47" t="s">
        <v>175</v>
      </c>
      <c r="H104" s="47"/>
      <c r="I104" s="47" t="s">
        <v>226</v>
      </c>
      <c r="J104" s="47" t="s">
        <v>282</v>
      </c>
      <c r="K104" s="47" t="s">
        <v>283</v>
      </c>
      <c r="L104" s="47" t="s">
        <v>284</v>
      </c>
      <c r="M104" s="47" t="s">
        <v>285</v>
      </c>
      <c r="N104" s="47" t="s">
        <v>2626</v>
      </c>
      <c r="O104" s="47" t="s">
        <v>3257</v>
      </c>
      <c r="P104" s="47" t="s">
        <v>571</v>
      </c>
      <c r="Q104" s="47" t="s">
        <v>569</v>
      </c>
      <c r="R104" s="47"/>
      <c r="S104" s="48"/>
      <c r="T104" s="48" t="s">
        <v>3258</v>
      </c>
      <c r="U104" t="str">
        <f>IF(COUNTIF('Survey 1 Papers'!$D:$D,D104)&gt;0,"Shared with S1","Unique")</f>
        <v>Unique</v>
      </c>
    </row>
    <row r="105" spans="1:21" x14ac:dyDescent="0.35">
      <c r="A105" s="47" t="s">
        <v>332</v>
      </c>
      <c r="B105" s="47" t="s">
        <v>3259</v>
      </c>
      <c r="C105" s="47">
        <v>2016</v>
      </c>
      <c r="D105" s="47" t="s">
        <v>3260</v>
      </c>
      <c r="E105" s="47" t="s">
        <v>3261</v>
      </c>
      <c r="F105" s="47" t="s">
        <v>3262</v>
      </c>
      <c r="G105" s="47" t="s">
        <v>175</v>
      </c>
      <c r="H105" s="47"/>
      <c r="I105" s="47" t="s">
        <v>226</v>
      </c>
      <c r="J105" s="47" t="s">
        <v>276</v>
      </c>
      <c r="K105" s="47" t="s">
        <v>283</v>
      </c>
      <c r="L105" s="47" t="s">
        <v>284</v>
      </c>
      <c r="M105" s="47" t="s">
        <v>285</v>
      </c>
      <c r="N105" s="47" t="s">
        <v>261</v>
      </c>
      <c r="O105" s="47" t="s">
        <v>3263</v>
      </c>
      <c r="P105" s="47" t="s">
        <v>573</v>
      </c>
      <c r="Q105" s="47" t="s">
        <v>569</v>
      </c>
      <c r="R105" s="47"/>
      <c r="S105" s="48"/>
      <c r="T105" s="48" t="s">
        <v>3258</v>
      </c>
      <c r="U105" t="str">
        <f>IF(COUNTIF('Survey 1 Papers'!$D:$D,D105)&gt;0,"Shared with S1","Unique")</f>
        <v>Unique</v>
      </c>
    </row>
    <row r="106" spans="1:21" x14ac:dyDescent="0.35">
      <c r="A106" s="47" t="s">
        <v>332</v>
      </c>
      <c r="B106" s="47" t="s">
        <v>3264</v>
      </c>
      <c r="C106" s="47">
        <v>2019</v>
      </c>
      <c r="D106" s="47" t="s">
        <v>3265</v>
      </c>
      <c r="E106" s="47" t="s">
        <v>3266</v>
      </c>
      <c r="F106" s="47" t="s">
        <v>3267</v>
      </c>
      <c r="G106" s="47" t="s">
        <v>174</v>
      </c>
      <c r="H106" s="47"/>
      <c r="I106" s="47" t="s">
        <v>226</v>
      </c>
      <c r="J106" s="47" t="s">
        <v>282</v>
      </c>
      <c r="K106" s="47" t="s">
        <v>283</v>
      </c>
      <c r="L106" s="47" t="s">
        <v>284</v>
      </c>
      <c r="M106" s="47" t="s">
        <v>285</v>
      </c>
      <c r="N106" s="47" t="s">
        <v>2626</v>
      </c>
      <c r="O106" s="47" t="s">
        <v>3268</v>
      </c>
      <c r="P106" s="47" t="s">
        <v>571</v>
      </c>
      <c r="Q106" s="47" t="s">
        <v>569</v>
      </c>
      <c r="R106" s="47"/>
      <c r="S106" s="48"/>
      <c r="T106" s="48" t="s">
        <v>3258</v>
      </c>
      <c r="U106" t="str">
        <f>IF(COUNTIF('Survey 1 Papers'!$D:$D,D106)&gt;0,"Shared with S1","Unique")</f>
        <v>Unique</v>
      </c>
    </row>
    <row r="107" spans="1:21" x14ac:dyDescent="0.35">
      <c r="A107" s="47" t="s">
        <v>332</v>
      </c>
      <c r="B107" s="47" t="s">
        <v>3259</v>
      </c>
      <c r="C107" s="47">
        <v>2020</v>
      </c>
      <c r="D107" s="47" t="s">
        <v>3269</v>
      </c>
      <c r="E107" s="47" t="s">
        <v>3270</v>
      </c>
      <c r="F107" s="47" t="s">
        <v>3271</v>
      </c>
      <c r="G107" s="47" t="s">
        <v>174</v>
      </c>
      <c r="H107" s="47"/>
      <c r="I107" s="47" t="s">
        <v>225</v>
      </c>
      <c r="J107" s="47" t="s">
        <v>276</v>
      </c>
      <c r="K107" s="47" t="s">
        <v>283</v>
      </c>
      <c r="L107" s="47" t="s">
        <v>284</v>
      </c>
      <c r="M107" s="47" t="s">
        <v>285</v>
      </c>
      <c r="N107" s="47" t="s">
        <v>261</v>
      </c>
      <c r="O107" s="47" t="s">
        <v>3272</v>
      </c>
      <c r="P107" s="47" t="s">
        <v>573</v>
      </c>
      <c r="Q107" s="47" t="s">
        <v>569</v>
      </c>
      <c r="R107" s="47" t="s">
        <v>3273</v>
      </c>
      <c r="S107" s="48"/>
      <c r="T107" s="48" t="s">
        <v>3258</v>
      </c>
      <c r="U107" t="str">
        <f>IF(COUNTIF('Survey 1 Papers'!$D:$D,D107)&gt;0,"Shared with S1","Unique")</f>
        <v>Unique</v>
      </c>
    </row>
    <row r="108" spans="1:21" x14ac:dyDescent="0.35">
      <c r="A108" s="47" t="s">
        <v>332</v>
      </c>
      <c r="B108" s="47" t="s">
        <v>3274</v>
      </c>
      <c r="C108" s="47">
        <v>2021</v>
      </c>
      <c r="D108" s="47" t="s">
        <v>3275</v>
      </c>
      <c r="E108" s="47" t="s">
        <v>3276</v>
      </c>
      <c r="F108" s="47" t="s">
        <v>3277</v>
      </c>
      <c r="G108" s="47" t="s">
        <v>549</v>
      </c>
      <c r="H108" s="47"/>
      <c r="I108" s="47" t="s">
        <v>226</v>
      </c>
      <c r="J108" s="47" t="s">
        <v>282</v>
      </c>
      <c r="K108" s="47" t="s">
        <v>283</v>
      </c>
      <c r="L108" s="47" t="s">
        <v>284</v>
      </c>
      <c r="M108" s="47" t="s">
        <v>285</v>
      </c>
      <c r="N108" s="47" t="s">
        <v>2626</v>
      </c>
      <c r="O108" s="47" t="s">
        <v>3278</v>
      </c>
      <c r="P108" s="47" t="s">
        <v>571</v>
      </c>
      <c r="Q108" s="47" t="s">
        <v>569</v>
      </c>
      <c r="R108" s="47"/>
      <c r="S108" s="48"/>
      <c r="T108" s="48" t="s">
        <v>3258</v>
      </c>
      <c r="U108" t="str">
        <f>IF(COUNTIF('Survey 1 Papers'!$D:$D,D108)&gt;0,"Shared with S1","Unique")</f>
        <v>Unique</v>
      </c>
    </row>
    <row r="109" spans="1:21" x14ac:dyDescent="0.35">
      <c r="A109" s="47" t="s">
        <v>332</v>
      </c>
      <c r="B109" s="47" t="s">
        <v>3264</v>
      </c>
      <c r="C109" s="47">
        <v>2021</v>
      </c>
      <c r="D109" s="47" t="s">
        <v>3279</v>
      </c>
      <c r="E109" s="47" t="s">
        <v>3280</v>
      </c>
      <c r="F109" s="47" t="s">
        <v>3281</v>
      </c>
      <c r="G109" s="47" t="s">
        <v>174</v>
      </c>
      <c r="H109" s="47"/>
      <c r="I109" s="47" t="s">
        <v>227</v>
      </c>
      <c r="J109" s="47" t="s">
        <v>282</v>
      </c>
      <c r="K109" s="47" t="s">
        <v>271</v>
      </c>
      <c r="L109" s="47" t="s">
        <v>284</v>
      </c>
      <c r="M109" s="47" t="s">
        <v>285</v>
      </c>
      <c r="N109" s="47" t="s">
        <v>3282</v>
      </c>
      <c r="O109" s="47" t="s">
        <v>3283</v>
      </c>
      <c r="P109" s="47" t="s">
        <v>3284</v>
      </c>
      <c r="Q109" s="47" t="s">
        <v>569</v>
      </c>
      <c r="R109" s="47"/>
      <c r="S109" s="48"/>
      <c r="T109" s="48" t="s">
        <v>3258</v>
      </c>
      <c r="U109" t="str">
        <f>IF(COUNTIF('Survey 1 Papers'!$D:$D,D109)&gt;0,"Shared with S1","Unique")</f>
        <v>Unique</v>
      </c>
    </row>
    <row r="110" spans="1:21" x14ac:dyDescent="0.35">
      <c r="A110" s="47" t="s">
        <v>332</v>
      </c>
      <c r="B110" s="47" t="s">
        <v>3285</v>
      </c>
      <c r="C110" s="47">
        <v>2022</v>
      </c>
      <c r="D110" s="47" t="s">
        <v>3286</v>
      </c>
      <c r="E110" s="47" t="s">
        <v>3287</v>
      </c>
      <c r="F110" s="47" t="s">
        <v>3288</v>
      </c>
      <c r="G110" s="47" t="s">
        <v>174</v>
      </c>
      <c r="H110" s="47"/>
      <c r="I110" s="47" t="s">
        <v>225</v>
      </c>
      <c r="J110" s="47" t="s">
        <v>282</v>
      </c>
      <c r="K110" s="47" t="s">
        <v>283</v>
      </c>
      <c r="L110" s="47" t="s">
        <v>284</v>
      </c>
      <c r="M110" s="47" t="s">
        <v>285</v>
      </c>
      <c r="N110" s="47" t="s">
        <v>2626</v>
      </c>
      <c r="O110" s="47" t="s">
        <v>3289</v>
      </c>
      <c r="P110" s="47" t="s">
        <v>571</v>
      </c>
      <c r="Q110" s="47" t="s">
        <v>569</v>
      </c>
      <c r="R110" s="47" t="s">
        <v>3273</v>
      </c>
      <c r="S110" s="48"/>
      <c r="T110" s="48" t="s">
        <v>3258</v>
      </c>
      <c r="U110" t="str">
        <f>IF(COUNTIF('Survey 1 Papers'!$D:$D,D110)&gt;0,"Shared with S1","Unique")</f>
        <v>Unique</v>
      </c>
    </row>
    <row r="111" spans="1:21" x14ac:dyDescent="0.35">
      <c r="A111" s="47" t="s">
        <v>332</v>
      </c>
      <c r="B111" s="47" t="s">
        <v>3290</v>
      </c>
      <c r="C111" s="47">
        <v>2022</v>
      </c>
      <c r="D111" s="47" t="s">
        <v>3291</v>
      </c>
      <c r="E111" s="47" t="s">
        <v>3287</v>
      </c>
      <c r="F111" s="47" t="s">
        <v>3292</v>
      </c>
      <c r="G111" s="47" t="s">
        <v>174</v>
      </c>
      <c r="H111" s="47"/>
      <c r="I111" s="47" t="s">
        <v>225</v>
      </c>
      <c r="J111" s="47" t="s">
        <v>282</v>
      </c>
      <c r="K111" s="47" t="s">
        <v>283</v>
      </c>
      <c r="L111" s="47" t="s">
        <v>284</v>
      </c>
      <c r="M111" s="47" t="s">
        <v>285</v>
      </c>
      <c r="N111" s="47" t="s">
        <v>3293</v>
      </c>
      <c r="O111" s="47" t="s">
        <v>3294</v>
      </c>
      <c r="P111" s="47" t="s">
        <v>3295</v>
      </c>
      <c r="Q111" s="47" t="s">
        <v>569</v>
      </c>
      <c r="R111" s="47" t="s">
        <v>3273</v>
      </c>
      <c r="S111" s="48"/>
      <c r="T111" s="48" t="s">
        <v>3258</v>
      </c>
      <c r="U111" t="str">
        <f>IF(COUNTIF('Survey 1 Papers'!$D:$D,D111)&gt;0,"Shared with S1","Unique")</f>
        <v>Unique</v>
      </c>
    </row>
    <row r="112" spans="1:21" x14ac:dyDescent="0.35">
      <c r="A112" s="47" t="s">
        <v>332</v>
      </c>
      <c r="B112" s="47" t="s">
        <v>3296</v>
      </c>
      <c r="C112" s="47">
        <v>2024</v>
      </c>
      <c r="D112" s="47" t="s">
        <v>3297</v>
      </c>
      <c r="E112" s="47" t="s">
        <v>3298</v>
      </c>
      <c r="F112" s="47" t="s">
        <v>3299</v>
      </c>
      <c r="G112" s="47" t="s">
        <v>174</v>
      </c>
      <c r="H112" s="47"/>
      <c r="I112" s="47" t="s">
        <v>226</v>
      </c>
      <c r="J112" s="47" t="s">
        <v>282</v>
      </c>
      <c r="K112" s="47" t="s">
        <v>271</v>
      </c>
      <c r="L112" s="47" t="s">
        <v>284</v>
      </c>
      <c r="M112" s="47" t="s">
        <v>285</v>
      </c>
      <c r="N112" s="47" t="s">
        <v>240</v>
      </c>
      <c r="O112" s="47" t="s">
        <v>3205</v>
      </c>
      <c r="P112" s="47" t="s">
        <v>3300</v>
      </c>
      <c r="Q112" s="47" t="s">
        <v>569</v>
      </c>
      <c r="R112" s="47"/>
      <c r="S112" s="48"/>
      <c r="T112" s="48" t="s">
        <v>3258</v>
      </c>
      <c r="U112" t="str">
        <f>IF(COUNTIF('Survey 1 Papers'!$D:$D,D112)&gt;0,"Shared with S1","Unique")</f>
        <v>Unique</v>
      </c>
    </row>
    <row r="113" spans="1:21" x14ac:dyDescent="0.35">
      <c r="A113" s="47" t="s">
        <v>332</v>
      </c>
      <c r="B113" s="47" t="s">
        <v>3301</v>
      </c>
      <c r="C113" s="47">
        <v>2026</v>
      </c>
      <c r="D113" s="47" t="s">
        <v>3302</v>
      </c>
      <c r="E113" s="47" t="s">
        <v>3303</v>
      </c>
      <c r="F113" s="47" t="s">
        <v>3304</v>
      </c>
      <c r="G113" s="47" t="s">
        <v>174</v>
      </c>
      <c r="H113" s="47"/>
      <c r="I113" s="47" t="s">
        <v>226</v>
      </c>
      <c r="J113" s="47" t="s">
        <v>282</v>
      </c>
      <c r="K113" s="47" t="s">
        <v>271</v>
      </c>
      <c r="L113" s="47" t="s">
        <v>284</v>
      </c>
      <c r="M113" s="47" t="s">
        <v>285</v>
      </c>
      <c r="N113" s="47" t="s">
        <v>3305</v>
      </c>
      <c r="O113" s="47" t="s">
        <v>3306</v>
      </c>
      <c r="P113" s="47" t="s">
        <v>3307</v>
      </c>
      <c r="Q113" s="47" t="s">
        <v>569</v>
      </c>
      <c r="R113" s="47"/>
      <c r="S113" s="48"/>
      <c r="T113" s="48" t="s">
        <v>3258</v>
      </c>
      <c r="U113" t="str">
        <f>IF(COUNTIF('Survey 1 Papers'!$D:$D,D113)&gt;0,"Shared with S1","Unique")</f>
        <v>Unique</v>
      </c>
    </row>
    <row r="114" spans="1:21" x14ac:dyDescent="0.35">
      <c r="A114" s="47" t="s">
        <v>3308</v>
      </c>
      <c r="B114" s="47" t="s">
        <v>3309</v>
      </c>
      <c r="C114" s="47">
        <v>2019</v>
      </c>
      <c r="D114" s="47" t="s">
        <v>3310</v>
      </c>
      <c r="E114" s="47" t="s">
        <v>3311</v>
      </c>
      <c r="F114" s="47" t="s">
        <v>3312</v>
      </c>
      <c r="G114" s="47" t="s">
        <v>2456</v>
      </c>
      <c r="H114" s="47"/>
      <c r="I114" s="47" t="s">
        <v>226</v>
      </c>
      <c r="J114" s="47" t="s">
        <v>282</v>
      </c>
      <c r="K114" s="47" t="s">
        <v>283</v>
      </c>
      <c r="L114" s="47" t="s">
        <v>284</v>
      </c>
      <c r="M114" s="47" t="s">
        <v>285</v>
      </c>
      <c r="N114" s="47" t="s">
        <v>2626</v>
      </c>
      <c r="O114" s="47" t="s">
        <v>3313</v>
      </c>
      <c r="P114" s="47" t="s">
        <v>3314</v>
      </c>
      <c r="Q114" s="47" t="s">
        <v>569</v>
      </c>
      <c r="R114" s="47"/>
      <c r="S114" s="48"/>
      <c r="T114" s="48" t="s">
        <v>3258</v>
      </c>
      <c r="U114" t="str">
        <f>IF(COUNTIF('Survey 1 Papers'!$D:$D,D114)&gt;0,"Shared with S1","Unique")</f>
        <v>Unique</v>
      </c>
    </row>
    <row r="115" spans="1:21" x14ac:dyDescent="0.35">
      <c r="A115" s="47" t="s">
        <v>3308</v>
      </c>
      <c r="B115" s="47" t="s">
        <v>3315</v>
      </c>
      <c r="C115" s="47">
        <v>2021</v>
      </c>
      <c r="D115" s="47" t="s">
        <v>3316</v>
      </c>
      <c r="E115" s="47" t="s">
        <v>3317</v>
      </c>
      <c r="F115" s="47" t="s">
        <v>3318</v>
      </c>
      <c r="G115" s="47" t="s">
        <v>549</v>
      </c>
      <c r="H115" s="47"/>
      <c r="I115" s="47" t="s">
        <v>226</v>
      </c>
      <c r="J115" s="47" t="s">
        <v>282</v>
      </c>
      <c r="K115" s="47" t="s">
        <v>283</v>
      </c>
      <c r="L115" s="47" t="s">
        <v>284</v>
      </c>
      <c r="M115" s="47" t="s">
        <v>285</v>
      </c>
      <c r="N115" s="47" t="s">
        <v>3319</v>
      </c>
      <c r="O115" s="47" t="s">
        <v>3320</v>
      </c>
      <c r="P115" s="47" t="s">
        <v>3321</v>
      </c>
      <c r="Q115" s="47" t="s">
        <v>569</v>
      </c>
      <c r="R115" s="47"/>
      <c r="S115" s="48"/>
      <c r="T115" s="48" t="s">
        <v>3258</v>
      </c>
      <c r="U115" t="str">
        <f>IF(COUNTIF('Survey 1 Papers'!$D:$D,D115)&gt;0,"Shared with S1","Unique")</f>
        <v>Unique</v>
      </c>
    </row>
    <row r="116" spans="1:21" x14ac:dyDescent="0.35">
      <c r="A116" s="47" t="s">
        <v>3308</v>
      </c>
      <c r="B116" s="47" t="s">
        <v>3322</v>
      </c>
      <c r="C116" s="47">
        <v>2023</v>
      </c>
      <c r="D116" s="47" t="s">
        <v>3323</v>
      </c>
      <c r="E116" s="47" t="s">
        <v>3324</v>
      </c>
      <c r="F116" s="47" t="s">
        <v>3325</v>
      </c>
      <c r="G116" s="47" t="s">
        <v>2785</v>
      </c>
      <c r="H116" s="47"/>
      <c r="I116" s="47" t="s">
        <v>226</v>
      </c>
      <c r="J116" s="47" t="s">
        <v>282</v>
      </c>
      <c r="K116" s="47" t="s">
        <v>283</v>
      </c>
      <c r="L116" s="47" t="s">
        <v>284</v>
      </c>
      <c r="M116" s="47" t="s">
        <v>285</v>
      </c>
      <c r="N116" s="47" t="s">
        <v>3326</v>
      </c>
      <c r="O116" s="47" t="s">
        <v>3327</v>
      </c>
      <c r="P116" s="47" t="s">
        <v>1804</v>
      </c>
      <c r="Q116" s="47" t="s">
        <v>569</v>
      </c>
      <c r="R116" s="47"/>
      <c r="S116" s="48"/>
      <c r="T116" s="48" t="s">
        <v>3258</v>
      </c>
      <c r="U116" t="str">
        <f>IF(COUNTIF('Survey 1 Papers'!$D:$D,D116)&gt;0,"Shared with S1","Unique")</f>
        <v>Unique</v>
      </c>
    </row>
    <row r="117" spans="1:21" x14ac:dyDescent="0.35">
      <c r="A117" s="47" t="s">
        <v>3308</v>
      </c>
      <c r="B117" s="47" t="s">
        <v>3328</v>
      </c>
      <c r="C117" s="47">
        <v>2023</v>
      </c>
      <c r="D117" s="47" t="s">
        <v>3329</v>
      </c>
      <c r="E117" s="47" t="s">
        <v>3330</v>
      </c>
      <c r="F117" s="47" t="s">
        <v>3331</v>
      </c>
      <c r="G117" s="47" t="s">
        <v>174</v>
      </c>
      <c r="H117" s="47"/>
      <c r="I117" s="47" t="s">
        <v>225</v>
      </c>
      <c r="J117" s="47" t="s">
        <v>282</v>
      </c>
      <c r="K117" s="47" t="s">
        <v>283</v>
      </c>
      <c r="L117" s="47" t="s">
        <v>284</v>
      </c>
      <c r="M117" s="47" t="s">
        <v>285</v>
      </c>
      <c r="N117" s="47" t="s">
        <v>3332</v>
      </c>
      <c r="O117" s="47" t="s">
        <v>3333</v>
      </c>
      <c r="P117" s="47" t="s">
        <v>3314</v>
      </c>
      <c r="Q117" s="47" t="s">
        <v>569</v>
      </c>
      <c r="R117" s="47" t="s">
        <v>3273</v>
      </c>
      <c r="S117" s="48"/>
      <c r="T117" s="48" t="s">
        <v>3258</v>
      </c>
      <c r="U117" t="str">
        <f>IF(COUNTIF('Survey 1 Papers'!$D:$D,D117)&gt;0,"Shared with S1","Unique")</f>
        <v>Unique</v>
      </c>
    </row>
    <row r="118" spans="1:21" x14ac:dyDescent="0.35">
      <c r="A118" s="47" t="s">
        <v>3308</v>
      </c>
      <c r="B118" s="47" t="s">
        <v>3334</v>
      </c>
      <c r="C118" s="47">
        <v>2025</v>
      </c>
      <c r="D118" s="47" t="s">
        <v>3335</v>
      </c>
      <c r="E118" s="47" t="s">
        <v>734</v>
      </c>
      <c r="F118" s="47" t="s">
        <v>3336</v>
      </c>
      <c r="G118" s="47" t="s">
        <v>183</v>
      </c>
      <c r="H118" s="47"/>
      <c r="I118" s="47" t="s">
        <v>226</v>
      </c>
      <c r="J118" s="47" t="s">
        <v>282</v>
      </c>
      <c r="K118" s="47" t="s">
        <v>283</v>
      </c>
      <c r="L118" s="47" t="s">
        <v>284</v>
      </c>
      <c r="M118" s="47" t="s">
        <v>285</v>
      </c>
      <c r="N118" s="47" t="s">
        <v>3326</v>
      </c>
      <c r="O118" s="47" t="s">
        <v>3109</v>
      </c>
      <c r="P118" s="47" t="s">
        <v>1804</v>
      </c>
      <c r="Q118" s="47" t="s">
        <v>569</v>
      </c>
      <c r="R118" s="47"/>
      <c r="S118" s="48"/>
      <c r="T118" s="48" t="s">
        <v>3258</v>
      </c>
      <c r="U118" t="str">
        <f>IF(COUNTIF('Survey 1 Papers'!$D:$D,D118)&gt;0,"Shared with S1","Unique")</f>
        <v>Unique</v>
      </c>
    </row>
    <row r="119" spans="1:21" x14ac:dyDescent="0.35">
      <c r="A119" s="47" t="s">
        <v>3308</v>
      </c>
      <c r="B119" s="47" t="s">
        <v>3337</v>
      </c>
      <c r="C119" s="47">
        <v>2026</v>
      </c>
      <c r="D119" s="47" t="s">
        <v>3338</v>
      </c>
      <c r="E119" s="47" t="s">
        <v>3339</v>
      </c>
      <c r="F119" s="47" t="s">
        <v>3340</v>
      </c>
      <c r="G119" s="47" t="s">
        <v>2456</v>
      </c>
      <c r="H119" s="47"/>
      <c r="I119" s="47" t="s">
        <v>227</v>
      </c>
      <c r="J119" s="47" t="s">
        <v>282</v>
      </c>
      <c r="K119" s="47" t="s">
        <v>283</v>
      </c>
      <c r="L119" s="47" t="s">
        <v>284</v>
      </c>
      <c r="M119" s="47" t="s">
        <v>285</v>
      </c>
      <c r="N119" s="47" t="s">
        <v>240</v>
      </c>
      <c r="O119" s="47" t="s">
        <v>3341</v>
      </c>
      <c r="P119" s="47" t="s">
        <v>1804</v>
      </c>
      <c r="Q119" s="47" t="s">
        <v>569</v>
      </c>
      <c r="R119" s="47"/>
      <c r="S119" s="48"/>
      <c r="T119" s="48" t="s">
        <v>3258</v>
      </c>
      <c r="U119" t="str">
        <f>IF(COUNTIF('Survey 1 Papers'!$D:$D,D119)&gt;0,"Shared with S1","Unique")</f>
        <v>Unique</v>
      </c>
    </row>
    <row r="120" spans="1:21" x14ac:dyDescent="0.35">
      <c r="A120" s="47" t="s">
        <v>3342</v>
      </c>
      <c r="B120" s="47" t="s">
        <v>3343</v>
      </c>
      <c r="C120" s="47">
        <v>2018</v>
      </c>
      <c r="D120" s="47" t="s">
        <v>3344</v>
      </c>
      <c r="E120" s="47" t="s">
        <v>3345</v>
      </c>
      <c r="F120" s="47" t="s">
        <v>3346</v>
      </c>
      <c r="G120" s="47" t="s">
        <v>549</v>
      </c>
      <c r="H120" s="47"/>
      <c r="I120" s="47" t="s">
        <v>226</v>
      </c>
      <c r="J120" s="47" t="s">
        <v>274</v>
      </c>
      <c r="K120" s="47" t="s">
        <v>283</v>
      </c>
      <c r="L120" s="47" t="s">
        <v>284</v>
      </c>
      <c r="M120" s="47" t="s">
        <v>285</v>
      </c>
      <c r="N120" s="47" t="s">
        <v>240</v>
      </c>
      <c r="O120" s="47" t="s">
        <v>3347</v>
      </c>
      <c r="P120" s="47" t="s">
        <v>572</v>
      </c>
      <c r="Q120" s="47" t="s">
        <v>569</v>
      </c>
      <c r="R120" s="47"/>
      <c r="S120" s="48"/>
      <c r="T120" s="48" t="s">
        <v>3258</v>
      </c>
      <c r="U120" t="str">
        <f>IF(COUNTIF('Survey 1 Papers'!$D:$D,D120)&gt;0,"Shared with S1","Unique")</f>
        <v>Unique</v>
      </c>
    </row>
    <row r="121" spans="1:21" x14ac:dyDescent="0.35">
      <c r="A121" s="47" t="s">
        <v>3342</v>
      </c>
      <c r="B121" s="47" t="s">
        <v>3348</v>
      </c>
      <c r="C121" s="47">
        <v>2019</v>
      </c>
      <c r="D121" s="47" t="s">
        <v>3349</v>
      </c>
      <c r="E121" s="47" t="s">
        <v>3350</v>
      </c>
      <c r="F121" s="47" t="s">
        <v>3351</v>
      </c>
      <c r="G121" s="47" t="s">
        <v>174</v>
      </c>
      <c r="H121" s="47"/>
      <c r="I121" s="47" t="s">
        <v>226</v>
      </c>
      <c r="J121" s="47" t="s">
        <v>274</v>
      </c>
      <c r="K121" s="47" t="s">
        <v>283</v>
      </c>
      <c r="L121" s="47" t="s">
        <v>284</v>
      </c>
      <c r="M121" s="47" t="s">
        <v>285</v>
      </c>
      <c r="N121" s="47" t="s">
        <v>3293</v>
      </c>
      <c r="O121" s="47" t="s">
        <v>3352</v>
      </c>
      <c r="P121" s="47" t="s">
        <v>572</v>
      </c>
      <c r="Q121" s="47" t="s">
        <v>569</v>
      </c>
      <c r="R121" s="47"/>
      <c r="S121" s="48"/>
      <c r="T121" s="48" t="s">
        <v>3258</v>
      </c>
      <c r="U121" t="str">
        <f>IF(COUNTIF('Survey 1 Papers'!$D:$D,D121)&gt;0,"Shared with S1","Unique")</f>
        <v>Unique</v>
      </c>
    </row>
    <row r="122" spans="1:21" x14ac:dyDescent="0.35">
      <c r="A122" s="47" t="s">
        <v>3342</v>
      </c>
      <c r="B122" s="47" t="s">
        <v>3353</v>
      </c>
      <c r="C122" s="47">
        <v>2020</v>
      </c>
      <c r="D122" s="47" t="s">
        <v>3354</v>
      </c>
      <c r="E122" s="47" t="s">
        <v>3355</v>
      </c>
      <c r="F122" s="47" t="s">
        <v>3356</v>
      </c>
      <c r="G122" s="47" t="s">
        <v>174</v>
      </c>
      <c r="H122" s="47"/>
      <c r="I122" s="47" t="s">
        <v>226</v>
      </c>
      <c r="J122" s="47" t="s">
        <v>274</v>
      </c>
      <c r="K122" s="47" t="s">
        <v>283</v>
      </c>
      <c r="L122" s="47" t="s">
        <v>284</v>
      </c>
      <c r="M122" s="47" t="s">
        <v>285</v>
      </c>
      <c r="N122" s="47" t="s">
        <v>3293</v>
      </c>
      <c r="O122" s="47" t="s">
        <v>3357</v>
      </c>
      <c r="P122" s="47" t="s">
        <v>572</v>
      </c>
      <c r="Q122" s="47" t="s">
        <v>569</v>
      </c>
      <c r="R122" s="47"/>
      <c r="S122" s="48"/>
      <c r="T122" s="48" t="s">
        <v>3258</v>
      </c>
      <c r="U122" t="str">
        <f>IF(COUNTIF('Survey 1 Papers'!$D:$D,D122)&gt;0,"Shared with S1","Unique")</f>
        <v>Unique</v>
      </c>
    </row>
    <row r="123" spans="1:21" x14ac:dyDescent="0.35">
      <c r="A123" s="47" t="s">
        <v>3342</v>
      </c>
      <c r="B123" s="47" t="s">
        <v>3358</v>
      </c>
      <c r="C123" s="47">
        <v>2020</v>
      </c>
      <c r="D123" s="47" t="s">
        <v>3359</v>
      </c>
      <c r="E123" s="47" t="s">
        <v>3360</v>
      </c>
      <c r="F123" s="47" t="s">
        <v>3361</v>
      </c>
      <c r="G123" s="47" t="s">
        <v>174</v>
      </c>
      <c r="H123" s="47"/>
      <c r="I123" s="47" t="s">
        <v>226</v>
      </c>
      <c r="J123" s="47" t="s">
        <v>274</v>
      </c>
      <c r="K123" s="47" t="s">
        <v>283</v>
      </c>
      <c r="L123" s="47" t="s">
        <v>284</v>
      </c>
      <c r="M123" s="47" t="s">
        <v>285</v>
      </c>
      <c r="N123" s="47" t="s">
        <v>240</v>
      </c>
      <c r="O123" s="47" t="s">
        <v>3205</v>
      </c>
      <c r="P123" s="47" t="s">
        <v>572</v>
      </c>
      <c r="Q123" s="47" t="s">
        <v>569</v>
      </c>
      <c r="R123" s="47"/>
      <c r="S123" s="48"/>
      <c r="T123" s="48" t="s">
        <v>3258</v>
      </c>
      <c r="U123" t="str">
        <f>IF(COUNTIF('Survey 1 Papers'!$D:$D,D123)&gt;0,"Shared with S1","Unique")</f>
        <v>Unique</v>
      </c>
    </row>
    <row r="124" spans="1:21" x14ac:dyDescent="0.35">
      <c r="A124" s="47" t="s">
        <v>3342</v>
      </c>
      <c r="B124" s="47" t="s">
        <v>3343</v>
      </c>
      <c r="C124" s="47">
        <v>2022</v>
      </c>
      <c r="D124" s="47" t="s">
        <v>3362</v>
      </c>
      <c r="E124" s="47" t="s">
        <v>3363</v>
      </c>
      <c r="F124" s="47" t="s">
        <v>3364</v>
      </c>
      <c r="G124" s="47" t="s">
        <v>549</v>
      </c>
      <c r="H124" s="47"/>
      <c r="I124" s="47" t="s">
        <v>226</v>
      </c>
      <c r="J124" s="47" t="s">
        <v>274</v>
      </c>
      <c r="K124" s="47" t="s">
        <v>283</v>
      </c>
      <c r="L124" s="47" t="s">
        <v>284</v>
      </c>
      <c r="M124" s="47" t="s">
        <v>285</v>
      </c>
      <c r="N124" s="47" t="s">
        <v>240</v>
      </c>
      <c r="O124" s="47" t="s">
        <v>3347</v>
      </c>
      <c r="P124" s="47" t="s">
        <v>572</v>
      </c>
      <c r="Q124" s="47" t="s">
        <v>569</v>
      </c>
      <c r="R124" s="47"/>
      <c r="S124" s="48"/>
      <c r="T124" s="48" t="s">
        <v>3258</v>
      </c>
      <c r="U124" t="str">
        <f>IF(COUNTIF('Survey 1 Papers'!$D:$D,D124)&gt;0,"Shared with S1","Unique")</f>
        <v>Unique</v>
      </c>
    </row>
    <row r="125" spans="1:21" x14ac:dyDescent="0.35">
      <c r="A125" s="47" t="s">
        <v>3342</v>
      </c>
      <c r="B125" s="47" t="s">
        <v>3365</v>
      </c>
      <c r="C125" s="47">
        <v>2023</v>
      </c>
      <c r="D125" s="47" t="s">
        <v>3366</v>
      </c>
      <c r="E125" s="47" t="s">
        <v>3367</v>
      </c>
      <c r="F125" s="47" t="s">
        <v>3368</v>
      </c>
      <c r="G125" s="47" t="s">
        <v>716</v>
      </c>
      <c r="H125" s="47"/>
      <c r="I125" s="47" t="s">
        <v>226</v>
      </c>
      <c r="J125" s="47" t="s">
        <v>282</v>
      </c>
      <c r="K125" s="47" t="s">
        <v>283</v>
      </c>
      <c r="L125" s="47" t="s">
        <v>284</v>
      </c>
      <c r="M125" s="47" t="s">
        <v>285</v>
      </c>
      <c r="N125" s="47" t="s">
        <v>240</v>
      </c>
      <c r="O125" s="47" t="s">
        <v>3369</v>
      </c>
      <c r="P125" s="47" t="s">
        <v>3370</v>
      </c>
      <c r="Q125" s="47" t="s">
        <v>569</v>
      </c>
      <c r="R125" s="47"/>
      <c r="S125" s="48"/>
      <c r="T125" s="48" t="s">
        <v>3258</v>
      </c>
      <c r="U125" t="str">
        <f>IF(COUNTIF('Survey 1 Papers'!$D:$D,D125)&gt;0,"Shared with S1","Unique")</f>
        <v>Unique</v>
      </c>
    </row>
    <row r="126" spans="1:21" x14ac:dyDescent="0.35">
      <c r="A126" s="47" t="s">
        <v>3342</v>
      </c>
      <c r="B126" s="47" t="s">
        <v>3371</v>
      </c>
      <c r="C126" s="47">
        <v>2023</v>
      </c>
      <c r="D126" s="47" t="s">
        <v>3372</v>
      </c>
      <c r="E126" s="47" t="s">
        <v>3330</v>
      </c>
      <c r="F126" s="47" t="s">
        <v>3373</v>
      </c>
      <c r="G126" s="47" t="s">
        <v>174</v>
      </c>
      <c r="H126" s="47"/>
      <c r="I126" s="47" t="s">
        <v>226</v>
      </c>
      <c r="J126" s="47" t="s">
        <v>274</v>
      </c>
      <c r="K126" s="47" t="s">
        <v>283</v>
      </c>
      <c r="L126" s="47" t="s">
        <v>284</v>
      </c>
      <c r="M126" s="47" t="s">
        <v>285</v>
      </c>
      <c r="N126" s="47" t="s">
        <v>240</v>
      </c>
      <c r="O126" s="47" t="s">
        <v>3374</v>
      </c>
      <c r="P126" s="47" t="s">
        <v>572</v>
      </c>
      <c r="Q126" s="47" t="s">
        <v>569</v>
      </c>
      <c r="R126" s="47"/>
      <c r="S126" s="48"/>
      <c r="T126" s="48" t="s">
        <v>3258</v>
      </c>
      <c r="U126" t="str">
        <f>IF(COUNTIF('Survey 1 Papers'!$D:$D,D126)&gt;0,"Shared with S1","Unique")</f>
        <v>Unique</v>
      </c>
    </row>
    <row r="127" spans="1:21" x14ac:dyDescent="0.35">
      <c r="A127" s="47" t="s">
        <v>3342</v>
      </c>
      <c r="B127" s="47" t="s">
        <v>3375</v>
      </c>
      <c r="C127" s="47">
        <v>2025</v>
      </c>
      <c r="D127" s="47" t="s">
        <v>3376</v>
      </c>
      <c r="E127" s="47" t="s">
        <v>3377</v>
      </c>
      <c r="F127" s="47" t="s">
        <v>3378</v>
      </c>
      <c r="G127" s="47" t="s">
        <v>183</v>
      </c>
      <c r="H127" s="47"/>
      <c r="I127" s="47" t="s">
        <v>227</v>
      </c>
      <c r="J127" s="47" t="s">
        <v>274</v>
      </c>
      <c r="K127" s="47" t="s">
        <v>283</v>
      </c>
      <c r="L127" s="47" t="s">
        <v>284</v>
      </c>
      <c r="M127" s="47" t="s">
        <v>285</v>
      </c>
      <c r="N127" s="47" t="s">
        <v>3293</v>
      </c>
      <c r="O127" s="47" t="s">
        <v>3379</v>
      </c>
      <c r="P127" s="47" t="s">
        <v>3380</v>
      </c>
      <c r="Q127" s="47" t="s">
        <v>569</v>
      </c>
      <c r="R127" s="47"/>
      <c r="S127" s="48"/>
      <c r="T127" s="48" t="s">
        <v>3381</v>
      </c>
      <c r="U127" t="str">
        <f>IF(COUNTIF('Survey 1 Papers'!$D:$D,D127)&gt;0,"Shared with S1","Unique")</f>
        <v>Unique</v>
      </c>
    </row>
    <row r="128" spans="1:21" x14ac:dyDescent="0.35">
      <c r="A128" s="47" t="s">
        <v>3342</v>
      </c>
      <c r="B128" s="47" t="s">
        <v>3382</v>
      </c>
      <c r="C128" s="47">
        <v>2025</v>
      </c>
      <c r="D128" s="47" t="s">
        <v>3383</v>
      </c>
      <c r="E128" s="47" t="s">
        <v>3384</v>
      </c>
      <c r="F128" s="47" t="s">
        <v>3385</v>
      </c>
      <c r="G128" s="47" t="s">
        <v>174</v>
      </c>
      <c r="H128" s="47"/>
      <c r="I128" s="47" t="s">
        <v>227</v>
      </c>
      <c r="J128" s="47" t="s">
        <v>274</v>
      </c>
      <c r="K128" s="47" t="s">
        <v>283</v>
      </c>
      <c r="L128" s="47" t="s">
        <v>238</v>
      </c>
      <c r="M128" s="47" t="s">
        <v>275</v>
      </c>
      <c r="N128" s="47" t="s">
        <v>3386</v>
      </c>
      <c r="O128" s="47" t="s">
        <v>3387</v>
      </c>
      <c r="P128" s="47" t="s">
        <v>572</v>
      </c>
      <c r="Q128" s="47" t="s">
        <v>569</v>
      </c>
      <c r="R128" s="47"/>
      <c r="S128" s="48"/>
      <c r="T128" s="48" t="s">
        <v>3388</v>
      </c>
      <c r="U128" t="str">
        <f>IF(COUNTIF('Survey 1 Papers'!$D:$D,D128)&gt;0,"Shared with S1","Unique")</f>
        <v>Unique</v>
      </c>
    </row>
    <row r="129" spans="1:21" x14ac:dyDescent="0.35">
      <c r="A129" s="47" t="s">
        <v>3342</v>
      </c>
      <c r="B129" s="47" t="s">
        <v>3389</v>
      </c>
      <c r="C129" s="47">
        <v>2026</v>
      </c>
      <c r="D129" s="47" t="s">
        <v>3390</v>
      </c>
      <c r="E129" s="47" t="s">
        <v>3391</v>
      </c>
      <c r="F129" s="47" t="s">
        <v>3392</v>
      </c>
      <c r="G129" s="47" t="s">
        <v>174</v>
      </c>
      <c r="H129" s="47"/>
      <c r="I129" s="47" t="s">
        <v>226</v>
      </c>
      <c r="J129" s="47" t="s">
        <v>274</v>
      </c>
      <c r="K129" s="47" t="s">
        <v>283</v>
      </c>
      <c r="L129" s="47" t="s">
        <v>284</v>
      </c>
      <c r="M129" s="47" t="s">
        <v>285</v>
      </c>
      <c r="N129" s="47" t="s">
        <v>3293</v>
      </c>
      <c r="O129" s="47" t="s">
        <v>3393</v>
      </c>
      <c r="P129" s="47" t="s">
        <v>572</v>
      </c>
      <c r="Q129" s="47" t="s">
        <v>569</v>
      </c>
      <c r="R129" s="47"/>
      <c r="S129" s="48"/>
      <c r="T129" s="48" t="s">
        <v>3258</v>
      </c>
      <c r="U129" t="str">
        <f>IF(COUNTIF('Survey 1 Papers'!$D:$D,D129)&gt;0,"Shared with S1","Unique")</f>
        <v>Unique</v>
      </c>
    </row>
    <row r="130" spans="1:21" x14ac:dyDescent="0.35">
      <c r="A130" s="47" t="s">
        <v>404</v>
      </c>
      <c r="B130" s="47" t="s">
        <v>3394</v>
      </c>
      <c r="C130" s="47">
        <v>2018</v>
      </c>
      <c r="D130" s="47" t="s">
        <v>3395</v>
      </c>
      <c r="E130" s="47" t="s">
        <v>3396</v>
      </c>
      <c r="F130" s="47" t="s">
        <v>3397</v>
      </c>
      <c r="G130" s="47" t="s">
        <v>174</v>
      </c>
      <c r="H130" s="47"/>
      <c r="I130" s="47" t="s">
        <v>226</v>
      </c>
      <c r="J130" s="47" t="s">
        <v>276</v>
      </c>
      <c r="K130" s="47" t="s">
        <v>283</v>
      </c>
      <c r="L130" s="47" t="s">
        <v>284</v>
      </c>
      <c r="M130" s="47" t="s">
        <v>275</v>
      </c>
      <c r="N130" s="47" t="s">
        <v>3398</v>
      </c>
      <c r="O130" s="47" t="s">
        <v>3399</v>
      </c>
      <c r="P130" s="47" t="s">
        <v>3400</v>
      </c>
      <c r="Q130" s="47" t="s">
        <v>569</v>
      </c>
      <c r="R130" s="47"/>
      <c r="S130" s="48"/>
      <c r="T130" s="48" t="s">
        <v>3258</v>
      </c>
      <c r="U130" t="str">
        <f>IF(COUNTIF('Survey 1 Papers'!$D:$D,D130)&gt;0,"Shared with S1","Unique")</f>
        <v>Unique</v>
      </c>
    </row>
    <row r="131" spans="1:21" x14ac:dyDescent="0.35">
      <c r="A131" s="47" t="s">
        <v>404</v>
      </c>
      <c r="B131" s="47" t="s">
        <v>3401</v>
      </c>
      <c r="C131" s="47">
        <v>2020</v>
      </c>
      <c r="D131" s="47" t="s">
        <v>3402</v>
      </c>
      <c r="E131" s="47" t="s">
        <v>3403</v>
      </c>
      <c r="F131" s="47" t="s">
        <v>3404</v>
      </c>
      <c r="G131" s="47" t="s">
        <v>3405</v>
      </c>
      <c r="H131" s="47"/>
      <c r="I131" s="47" t="s">
        <v>226</v>
      </c>
      <c r="J131" s="47" t="s">
        <v>276</v>
      </c>
      <c r="K131" s="47" t="s">
        <v>283</v>
      </c>
      <c r="L131" s="47" t="s">
        <v>284</v>
      </c>
      <c r="M131" s="47" t="s">
        <v>275</v>
      </c>
      <c r="N131" s="47" t="s">
        <v>240</v>
      </c>
      <c r="O131" s="47" t="s">
        <v>3406</v>
      </c>
      <c r="P131" s="47" t="s">
        <v>573</v>
      </c>
      <c r="Q131" s="47" t="s">
        <v>569</v>
      </c>
      <c r="R131" s="47"/>
      <c r="S131" s="48"/>
      <c r="T131" s="48" t="s">
        <v>3258</v>
      </c>
      <c r="U131" t="str">
        <f>IF(COUNTIF('Survey 1 Papers'!$D:$D,D131)&gt;0,"Shared with S1","Unique")</f>
        <v>Unique</v>
      </c>
    </row>
    <row r="132" spans="1:21" x14ac:dyDescent="0.35">
      <c r="A132" s="47" t="s">
        <v>404</v>
      </c>
      <c r="B132" s="47" t="s">
        <v>3407</v>
      </c>
      <c r="C132" s="47">
        <v>2020</v>
      </c>
      <c r="D132" s="47" t="s">
        <v>3408</v>
      </c>
      <c r="E132" s="47" t="s">
        <v>3409</v>
      </c>
      <c r="F132" s="47" t="s">
        <v>3410</v>
      </c>
      <c r="G132" s="47" t="s">
        <v>174</v>
      </c>
      <c r="H132" s="47"/>
      <c r="I132" s="47" t="s">
        <v>227</v>
      </c>
      <c r="J132" s="47" t="s">
        <v>276</v>
      </c>
      <c r="K132" s="47" t="s">
        <v>271</v>
      </c>
      <c r="L132" s="47" t="s">
        <v>238</v>
      </c>
      <c r="M132" s="47" t="s">
        <v>275</v>
      </c>
      <c r="N132" s="47" t="s">
        <v>3411</v>
      </c>
      <c r="O132" s="47" t="s">
        <v>3412</v>
      </c>
      <c r="P132" s="47" t="s">
        <v>3413</v>
      </c>
      <c r="Q132" s="47" t="s">
        <v>569</v>
      </c>
      <c r="R132" s="47"/>
      <c r="S132" s="48"/>
      <c r="T132" s="48" t="s">
        <v>3258</v>
      </c>
      <c r="U132" t="str">
        <f>IF(COUNTIF('Survey 1 Papers'!$D:$D,D132)&gt;0,"Shared with S1","Unique")</f>
        <v>Unique</v>
      </c>
    </row>
    <row r="133" spans="1:21" x14ac:dyDescent="0.35">
      <c r="A133" s="47" t="s">
        <v>404</v>
      </c>
      <c r="B133" s="47" t="s">
        <v>3414</v>
      </c>
      <c r="C133" s="47">
        <v>2021</v>
      </c>
      <c r="D133" s="47" t="s">
        <v>3415</v>
      </c>
      <c r="E133" s="47" t="s">
        <v>3416</v>
      </c>
      <c r="F133" s="47" t="s">
        <v>3417</v>
      </c>
      <c r="G133" s="47" t="s">
        <v>2343</v>
      </c>
      <c r="H133" s="47"/>
      <c r="I133" s="47" t="s">
        <v>225</v>
      </c>
      <c r="J133" s="47" t="s">
        <v>276</v>
      </c>
      <c r="K133" s="47" t="s">
        <v>271</v>
      </c>
      <c r="L133" s="47" t="s">
        <v>238</v>
      </c>
      <c r="M133" s="47" t="s">
        <v>275</v>
      </c>
      <c r="N133" s="47" t="s">
        <v>3418</v>
      </c>
      <c r="O133" s="47" t="s">
        <v>3419</v>
      </c>
      <c r="P133" s="47" t="s">
        <v>3413</v>
      </c>
      <c r="Q133" s="47" t="s">
        <v>569</v>
      </c>
      <c r="R133" s="47"/>
      <c r="S133" s="48"/>
      <c r="T133" s="48" t="s">
        <v>3258</v>
      </c>
      <c r="U133" t="str">
        <f>IF(COUNTIF('Survey 1 Papers'!$D:$D,D133)&gt;0,"Shared with S1","Unique")</f>
        <v>Unique</v>
      </c>
    </row>
    <row r="134" spans="1:21" x14ac:dyDescent="0.35">
      <c r="A134" s="47" t="s">
        <v>404</v>
      </c>
      <c r="B134" s="47" t="s">
        <v>3420</v>
      </c>
      <c r="C134" s="47">
        <v>2022</v>
      </c>
      <c r="D134" s="47" t="s">
        <v>3421</v>
      </c>
      <c r="E134" s="47" t="s">
        <v>3422</v>
      </c>
      <c r="F134" s="47" t="s">
        <v>3423</v>
      </c>
      <c r="G134" s="47" t="s">
        <v>175</v>
      </c>
      <c r="H134" s="47"/>
      <c r="I134" s="47" t="s">
        <v>226</v>
      </c>
      <c r="J134" s="47" t="s">
        <v>276</v>
      </c>
      <c r="K134" s="47" t="s">
        <v>283</v>
      </c>
      <c r="L134" s="47" t="s">
        <v>284</v>
      </c>
      <c r="M134" s="47" t="s">
        <v>275</v>
      </c>
      <c r="N134" s="47" t="s">
        <v>3398</v>
      </c>
      <c r="O134" s="47" t="s">
        <v>3424</v>
      </c>
      <c r="P134" s="47" t="s">
        <v>573</v>
      </c>
      <c r="Q134" s="47" t="s">
        <v>569</v>
      </c>
      <c r="R134" s="47"/>
      <c r="S134" s="48"/>
      <c r="T134" s="48" t="s">
        <v>3258</v>
      </c>
      <c r="U134" t="str">
        <f>IF(COUNTIF('Survey 1 Papers'!$D:$D,D134)&gt;0,"Shared with S1","Unique")</f>
        <v>Unique</v>
      </c>
    </row>
    <row r="135" spans="1:21" x14ac:dyDescent="0.35">
      <c r="A135" s="47" t="s">
        <v>404</v>
      </c>
      <c r="B135" s="47" t="s">
        <v>3407</v>
      </c>
      <c r="C135" s="47">
        <v>2024</v>
      </c>
      <c r="D135" s="47" t="s">
        <v>3425</v>
      </c>
      <c r="E135" s="47" t="s">
        <v>3426</v>
      </c>
      <c r="F135" s="47" t="s">
        <v>3427</v>
      </c>
      <c r="G135" s="47" t="s">
        <v>3405</v>
      </c>
      <c r="H135" s="47"/>
      <c r="I135" s="47" t="s">
        <v>227</v>
      </c>
      <c r="J135" s="47" t="s">
        <v>276</v>
      </c>
      <c r="K135" s="47" t="s">
        <v>271</v>
      </c>
      <c r="L135" s="47" t="s">
        <v>238</v>
      </c>
      <c r="M135" s="47" t="s">
        <v>272</v>
      </c>
      <c r="N135" s="47" t="s">
        <v>3428</v>
      </c>
      <c r="O135" s="47" t="s">
        <v>3429</v>
      </c>
      <c r="P135" s="47" t="s">
        <v>3430</v>
      </c>
      <c r="Q135" s="47" t="s">
        <v>569</v>
      </c>
      <c r="R135" s="47"/>
      <c r="S135" s="48"/>
      <c r="T135" s="48" t="s">
        <v>3258</v>
      </c>
      <c r="U135" t="str">
        <f>IF(COUNTIF('Survey 1 Papers'!$D:$D,D135)&gt;0,"Shared with S1","Unique")</f>
        <v>Unique</v>
      </c>
    </row>
    <row r="136" spans="1:21" x14ac:dyDescent="0.35">
      <c r="A136" s="47" t="s">
        <v>3431</v>
      </c>
      <c r="B136" s="47" t="s">
        <v>3432</v>
      </c>
      <c r="C136" s="47">
        <v>2020</v>
      </c>
      <c r="D136" s="47" t="s">
        <v>3433</v>
      </c>
      <c r="E136" s="47" t="s">
        <v>3434</v>
      </c>
      <c r="F136" s="47" t="s">
        <v>3435</v>
      </c>
      <c r="G136" s="47" t="s">
        <v>549</v>
      </c>
      <c r="H136" s="47"/>
      <c r="I136" s="47" t="s">
        <v>225</v>
      </c>
      <c r="J136" s="47" t="s">
        <v>282</v>
      </c>
      <c r="K136" s="47" t="s">
        <v>283</v>
      </c>
      <c r="L136" s="47" t="s">
        <v>284</v>
      </c>
      <c r="M136" s="47" t="s">
        <v>285</v>
      </c>
      <c r="N136" s="47" t="s">
        <v>2626</v>
      </c>
      <c r="O136" s="47" t="s">
        <v>3436</v>
      </c>
      <c r="P136" s="47" t="s">
        <v>577</v>
      </c>
      <c r="Q136" s="47" t="s">
        <v>569</v>
      </c>
      <c r="R136" s="47" t="s">
        <v>3273</v>
      </c>
      <c r="S136" s="48"/>
      <c r="T136" s="48" t="s">
        <v>3258</v>
      </c>
      <c r="U136" t="str">
        <f>IF(COUNTIF('Survey 1 Papers'!$D:$D,D136)&gt;0,"Shared with S1","Unique")</f>
        <v>Unique</v>
      </c>
    </row>
    <row r="137" spans="1:21" x14ac:dyDescent="0.35">
      <c r="A137" s="47" t="s">
        <v>3431</v>
      </c>
      <c r="B137" s="47" t="s">
        <v>3437</v>
      </c>
      <c r="C137" s="47">
        <v>2020</v>
      </c>
      <c r="D137" s="47" t="s">
        <v>3438</v>
      </c>
      <c r="E137" s="47" t="s">
        <v>3439</v>
      </c>
      <c r="F137" s="47" t="s">
        <v>3440</v>
      </c>
      <c r="G137" s="47" t="s">
        <v>174</v>
      </c>
      <c r="H137" s="47"/>
      <c r="I137" s="47" t="s">
        <v>226</v>
      </c>
      <c r="J137" s="47" t="s">
        <v>282</v>
      </c>
      <c r="K137" s="47" t="s">
        <v>283</v>
      </c>
      <c r="L137" s="47" t="s">
        <v>284</v>
      </c>
      <c r="M137" s="47" t="s">
        <v>285</v>
      </c>
      <c r="N137" s="47" t="s">
        <v>240</v>
      </c>
      <c r="O137" s="47" t="s">
        <v>3441</v>
      </c>
      <c r="P137" s="47" t="s">
        <v>571</v>
      </c>
      <c r="Q137" s="47" t="s">
        <v>569</v>
      </c>
      <c r="R137" s="47"/>
      <c r="S137" s="48"/>
      <c r="T137" s="48" t="s">
        <v>3258</v>
      </c>
      <c r="U137" t="str">
        <f>IF(COUNTIF('Survey 1 Papers'!$D:$D,D137)&gt;0,"Shared with S1","Unique")</f>
        <v>Unique</v>
      </c>
    </row>
    <row r="138" spans="1:21" x14ac:dyDescent="0.35">
      <c r="A138" s="47" t="s">
        <v>3431</v>
      </c>
      <c r="B138" s="47" t="s">
        <v>3442</v>
      </c>
      <c r="C138" s="47">
        <v>2021</v>
      </c>
      <c r="D138" s="47" t="s">
        <v>3443</v>
      </c>
      <c r="E138" s="47" t="s">
        <v>3444</v>
      </c>
      <c r="F138" s="47" t="s">
        <v>3445</v>
      </c>
      <c r="G138" s="47" t="s">
        <v>549</v>
      </c>
      <c r="H138" s="47"/>
      <c r="I138" s="47" t="s">
        <v>226</v>
      </c>
      <c r="J138" s="47" t="s">
        <v>282</v>
      </c>
      <c r="K138" s="47" t="s">
        <v>283</v>
      </c>
      <c r="L138" s="47" t="s">
        <v>284</v>
      </c>
      <c r="M138" s="47" t="s">
        <v>285</v>
      </c>
      <c r="N138" s="47" t="s">
        <v>3293</v>
      </c>
      <c r="O138" s="47" t="s">
        <v>3446</v>
      </c>
      <c r="P138" s="47" t="s">
        <v>577</v>
      </c>
      <c r="Q138" s="47" t="s">
        <v>569</v>
      </c>
      <c r="R138" s="47"/>
      <c r="S138" s="48"/>
      <c r="T138" s="48" t="s">
        <v>3258</v>
      </c>
      <c r="U138" t="str">
        <f>IF(COUNTIF('Survey 1 Papers'!$D:$D,D138)&gt;0,"Shared with S1","Unique")</f>
        <v>Unique</v>
      </c>
    </row>
    <row r="139" spans="1:21" x14ac:dyDescent="0.35">
      <c r="A139" s="47" t="s">
        <v>3431</v>
      </c>
      <c r="B139" s="47" t="s">
        <v>3447</v>
      </c>
      <c r="C139" s="47">
        <v>2022</v>
      </c>
      <c r="D139" s="47" t="s">
        <v>3448</v>
      </c>
      <c r="E139" s="47" t="s">
        <v>3287</v>
      </c>
      <c r="F139" s="47" t="s">
        <v>3449</v>
      </c>
      <c r="G139" s="47" t="s">
        <v>174</v>
      </c>
      <c r="H139" s="47"/>
      <c r="I139" s="47" t="s">
        <v>226</v>
      </c>
      <c r="J139" s="47" t="s">
        <v>282</v>
      </c>
      <c r="K139" s="47" t="s">
        <v>283</v>
      </c>
      <c r="L139" s="47" t="s">
        <v>284</v>
      </c>
      <c r="M139" s="47" t="s">
        <v>275</v>
      </c>
      <c r="N139" s="47" t="s">
        <v>3450</v>
      </c>
      <c r="O139" s="47" t="s">
        <v>3451</v>
      </c>
      <c r="P139" s="47" t="s">
        <v>2043</v>
      </c>
      <c r="Q139" s="47" t="s">
        <v>569</v>
      </c>
      <c r="R139" s="47"/>
      <c r="S139" s="48"/>
      <c r="T139" s="48" t="s">
        <v>3258</v>
      </c>
      <c r="U139" t="str">
        <f>IF(COUNTIF('Survey 1 Papers'!$D:$D,D139)&gt;0,"Shared with S1","Unique")</f>
        <v>Unique</v>
      </c>
    </row>
    <row r="140" spans="1:21" x14ac:dyDescent="0.35">
      <c r="A140" s="47" t="s">
        <v>3431</v>
      </c>
      <c r="B140" s="47" t="s">
        <v>3452</v>
      </c>
      <c r="C140" s="47">
        <v>2025</v>
      </c>
      <c r="D140" s="47" t="s">
        <v>3453</v>
      </c>
      <c r="E140" s="47" t="s">
        <v>3454</v>
      </c>
      <c r="F140" s="47" t="s">
        <v>3455</v>
      </c>
      <c r="G140" s="47" t="s">
        <v>549</v>
      </c>
      <c r="H140" s="47"/>
      <c r="I140" s="47" t="s">
        <v>226</v>
      </c>
      <c r="J140" s="47" t="s">
        <v>282</v>
      </c>
      <c r="K140" s="47" t="s">
        <v>283</v>
      </c>
      <c r="L140" s="47" t="s">
        <v>284</v>
      </c>
      <c r="M140" s="47" t="s">
        <v>285</v>
      </c>
      <c r="N140" s="47" t="s">
        <v>3293</v>
      </c>
      <c r="O140" s="47" t="s">
        <v>3456</v>
      </c>
      <c r="P140" s="47" t="s">
        <v>577</v>
      </c>
      <c r="Q140" s="47" t="s">
        <v>569</v>
      </c>
      <c r="R140" s="47"/>
      <c r="S140" s="48"/>
      <c r="T140" s="48" t="s">
        <v>3258</v>
      </c>
      <c r="U140" t="str">
        <f>IF(COUNTIF('Survey 1 Papers'!$D:$D,D140)&gt;0,"Shared with S1","Unique")</f>
        <v>Unique</v>
      </c>
    </row>
    <row r="141" spans="1:21" x14ac:dyDescent="0.35">
      <c r="A141" s="47" t="s">
        <v>2522</v>
      </c>
      <c r="B141" s="47" t="s">
        <v>3457</v>
      </c>
      <c r="C141" s="47">
        <v>2021</v>
      </c>
      <c r="D141" s="47" t="s">
        <v>3458</v>
      </c>
      <c r="E141" s="47" t="s">
        <v>3459</v>
      </c>
      <c r="F141" s="47" t="s">
        <v>3460</v>
      </c>
      <c r="G141" s="47" t="s">
        <v>174</v>
      </c>
      <c r="H141" s="47"/>
      <c r="I141" s="47" t="s">
        <v>226</v>
      </c>
      <c r="J141" s="47" t="s">
        <v>277</v>
      </c>
      <c r="K141" s="47" t="s">
        <v>283</v>
      </c>
      <c r="L141" s="47" t="s">
        <v>284</v>
      </c>
      <c r="M141" s="47" t="s">
        <v>275</v>
      </c>
      <c r="N141" s="47" t="s">
        <v>3461</v>
      </c>
      <c r="O141" s="47" t="s">
        <v>3462</v>
      </c>
      <c r="P141" s="47" t="s">
        <v>573</v>
      </c>
      <c r="Q141" s="47" t="s">
        <v>569</v>
      </c>
      <c r="R141" s="47"/>
      <c r="S141" s="48"/>
      <c r="T141" s="48" t="s">
        <v>3258</v>
      </c>
      <c r="U141" t="str">
        <f>IF(COUNTIF('Survey 1 Papers'!$D:$D,D141)&gt;0,"Shared with S1","Unique")</f>
        <v>Unique</v>
      </c>
    </row>
    <row r="142" spans="1:21" x14ac:dyDescent="0.35">
      <c r="A142" s="47" t="s">
        <v>2522</v>
      </c>
      <c r="B142" s="47" t="s">
        <v>3463</v>
      </c>
      <c r="C142" s="47">
        <v>2023</v>
      </c>
      <c r="D142" s="47" t="s">
        <v>3464</v>
      </c>
      <c r="E142" s="47" t="s">
        <v>3465</v>
      </c>
      <c r="F142" s="47" t="s">
        <v>3466</v>
      </c>
      <c r="G142" s="47" t="s">
        <v>2534</v>
      </c>
      <c r="H142" s="47"/>
      <c r="I142" s="47" t="s">
        <v>227</v>
      </c>
      <c r="J142" s="47" t="s">
        <v>277</v>
      </c>
      <c r="K142" s="47" t="s">
        <v>283</v>
      </c>
      <c r="L142" s="47" t="s">
        <v>238</v>
      </c>
      <c r="M142" s="47" t="s">
        <v>272</v>
      </c>
      <c r="N142" s="47" t="s">
        <v>233</v>
      </c>
      <c r="O142" s="47" t="s">
        <v>3467</v>
      </c>
      <c r="P142" s="47" t="s">
        <v>3468</v>
      </c>
      <c r="Q142" s="47" t="s">
        <v>569</v>
      </c>
      <c r="R142" s="47"/>
      <c r="S142" s="48"/>
      <c r="T142" s="48" t="s">
        <v>3258</v>
      </c>
      <c r="U142" t="str">
        <f>IF(COUNTIF('Survey 1 Papers'!$D:$D,D142)&gt;0,"Shared with S1","Unique")</f>
        <v>Unique</v>
      </c>
    </row>
    <row r="143" spans="1:21" x14ac:dyDescent="0.35">
      <c r="A143" s="47" t="s">
        <v>2522</v>
      </c>
      <c r="B143" s="47" t="s">
        <v>3469</v>
      </c>
      <c r="C143" s="47">
        <v>2024</v>
      </c>
      <c r="D143" s="47" t="s">
        <v>3470</v>
      </c>
      <c r="E143" s="47" t="s">
        <v>734</v>
      </c>
      <c r="F143" s="47" t="s">
        <v>3471</v>
      </c>
      <c r="G143" s="47" t="s">
        <v>183</v>
      </c>
      <c r="H143" s="47"/>
      <c r="I143" s="47" t="s">
        <v>226</v>
      </c>
      <c r="J143" s="47" t="s">
        <v>282</v>
      </c>
      <c r="K143" s="47" t="s">
        <v>283</v>
      </c>
      <c r="L143" s="47" t="s">
        <v>284</v>
      </c>
      <c r="M143" s="47" t="s">
        <v>275</v>
      </c>
      <c r="N143" s="47" t="s">
        <v>3472</v>
      </c>
      <c r="O143" s="47" t="s">
        <v>2105</v>
      </c>
      <c r="P143" s="47" t="s">
        <v>3473</v>
      </c>
      <c r="Q143" s="47" t="s">
        <v>569</v>
      </c>
      <c r="R143" s="47"/>
      <c r="S143" s="48"/>
      <c r="T143" s="48" t="s">
        <v>3258</v>
      </c>
      <c r="U143" t="str">
        <f>IF(COUNTIF('Survey 1 Papers'!$D:$D,D143)&gt;0,"Shared with S1","Unique")</f>
        <v>Unique</v>
      </c>
    </row>
    <row r="144" spans="1:21" x14ac:dyDescent="0.35">
      <c r="A144" s="47" t="s">
        <v>2522</v>
      </c>
      <c r="B144" s="47" t="s">
        <v>3474</v>
      </c>
      <c r="C144" s="47">
        <v>2025</v>
      </c>
      <c r="D144" s="47" t="s">
        <v>3475</v>
      </c>
      <c r="E144" s="47" t="s">
        <v>3476</v>
      </c>
      <c r="F144" s="47" t="s">
        <v>3477</v>
      </c>
      <c r="G144" s="47" t="s">
        <v>549</v>
      </c>
      <c r="H144" s="47"/>
      <c r="I144" s="47" t="s">
        <v>227</v>
      </c>
      <c r="J144" s="47" t="s">
        <v>277</v>
      </c>
      <c r="K144" s="47" t="s">
        <v>283</v>
      </c>
      <c r="L144" s="47" t="s">
        <v>238</v>
      </c>
      <c r="M144" s="47" t="s">
        <v>272</v>
      </c>
      <c r="N144" s="47" t="s">
        <v>3461</v>
      </c>
      <c r="O144" s="47" t="s">
        <v>3478</v>
      </c>
      <c r="P144" s="47" t="s">
        <v>575</v>
      </c>
      <c r="Q144" s="47" t="s">
        <v>569</v>
      </c>
      <c r="R144" s="47"/>
      <c r="S144" s="48"/>
      <c r="T144" s="48" t="s">
        <v>3258</v>
      </c>
      <c r="U144" t="str">
        <f>IF(COUNTIF('Survey 1 Papers'!$D:$D,D144)&gt;0,"Shared with S1","Unique")</f>
        <v>Unique</v>
      </c>
    </row>
    <row r="145" spans="1:21" x14ac:dyDescent="0.35">
      <c r="A145" s="47" t="s">
        <v>2522</v>
      </c>
      <c r="B145" s="47" t="s">
        <v>3479</v>
      </c>
      <c r="C145" s="47">
        <v>2025</v>
      </c>
      <c r="D145" s="47" t="s">
        <v>3480</v>
      </c>
      <c r="E145" s="47" t="s">
        <v>3481</v>
      </c>
      <c r="F145" s="47" t="s">
        <v>3482</v>
      </c>
      <c r="G145" s="47" t="s">
        <v>174</v>
      </c>
      <c r="H145" s="47"/>
      <c r="I145" s="47" t="s">
        <v>226</v>
      </c>
      <c r="J145" s="47" t="s">
        <v>282</v>
      </c>
      <c r="K145" s="47" t="s">
        <v>283</v>
      </c>
      <c r="L145" s="47" t="s">
        <v>284</v>
      </c>
      <c r="M145" s="47" t="s">
        <v>275</v>
      </c>
      <c r="N145" s="47" t="s">
        <v>3293</v>
      </c>
      <c r="O145" s="47" t="s">
        <v>3483</v>
      </c>
      <c r="P145" s="47" t="s">
        <v>3400</v>
      </c>
      <c r="Q145" s="47" t="s">
        <v>569</v>
      </c>
      <c r="R145" s="47"/>
      <c r="S145" s="48"/>
      <c r="T145" s="48" t="s">
        <v>3258</v>
      </c>
      <c r="U145" t="str">
        <f>IF(COUNTIF('Survey 1 Papers'!$D:$D,D145)&gt;0,"Shared with S1","Unique")</f>
        <v>Unique</v>
      </c>
    </row>
    <row r="146" spans="1:21" x14ac:dyDescent="0.35">
      <c r="A146" s="47" t="s">
        <v>2522</v>
      </c>
      <c r="B146" s="47" t="s">
        <v>3484</v>
      </c>
      <c r="C146" s="47">
        <v>2026</v>
      </c>
      <c r="D146" s="47" t="s">
        <v>3485</v>
      </c>
      <c r="E146" s="47" t="s">
        <v>3486</v>
      </c>
      <c r="F146" s="47" t="s">
        <v>3487</v>
      </c>
      <c r="G146" s="47" t="s">
        <v>174</v>
      </c>
      <c r="H146" s="47"/>
      <c r="I146" s="47" t="s">
        <v>226</v>
      </c>
      <c r="J146" s="47" t="s">
        <v>282</v>
      </c>
      <c r="K146" s="47" t="s">
        <v>283</v>
      </c>
      <c r="L146" s="47" t="s">
        <v>238</v>
      </c>
      <c r="M146" s="47" t="s">
        <v>275</v>
      </c>
      <c r="N146" s="47" t="s">
        <v>3472</v>
      </c>
      <c r="O146" s="47" t="s">
        <v>3488</v>
      </c>
      <c r="P146" s="47" t="s">
        <v>575</v>
      </c>
      <c r="Q146" s="47" t="s">
        <v>569</v>
      </c>
      <c r="R146" s="47"/>
      <c r="S146" s="48"/>
      <c r="T146" s="48" t="s">
        <v>3258</v>
      </c>
      <c r="U146" t="str">
        <f>IF(COUNTIF('Survey 1 Papers'!$D:$D,D146)&gt;0,"Shared with S1","Unique")</f>
        <v>Unique</v>
      </c>
    </row>
    <row r="147" spans="1:21" x14ac:dyDescent="0.35">
      <c r="A147" s="47" t="s">
        <v>2522</v>
      </c>
      <c r="B147" s="47" t="s">
        <v>3489</v>
      </c>
      <c r="C147" s="47">
        <v>2026</v>
      </c>
      <c r="D147" s="47" t="s">
        <v>3490</v>
      </c>
      <c r="E147" s="47" t="s">
        <v>3491</v>
      </c>
      <c r="F147" s="47" t="s">
        <v>3492</v>
      </c>
      <c r="G147" s="47" t="s">
        <v>174</v>
      </c>
      <c r="H147" s="47"/>
      <c r="I147" s="47" t="s">
        <v>226</v>
      </c>
      <c r="J147" s="47" t="s">
        <v>282</v>
      </c>
      <c r="K147" s="47" t="s">
        <v>283</v>
      </c>
      <c r="L147" s="47" t="s">
        <v>284</v>
      </c>
      <c r="M147" s="47" t="s">
        <v>275</v>
      </c>
      <c r="N147" s="47" t="s">
        <v>3493</v>
      </c>
      <c r="O147" s="47" t="s">
        <v>3494</v>
      </c>
      <c r="P147" s="47" t="s">
        <v>3473</v>
      </c>
      <c r="Q147" s="47" t="s">
        <v>569</v>
      </c>
      <c r="R147" s="47"/>
      <c r="S147" s="48"/>
      <c r="T147" s="48" t="s">
        <v>3258</v>
      </c>
      <c r="U147" t="str">
        <f>IF(COUNTIF('Survey 1 Papers'!$D:$D,D147)&gt;0,"Shared with S1","Unique")</f>
        <v>Unique</v>
      </c>
    </row>
    <row r="148" spans="1:21" x14ac:dyDescent="0.35">
      <c r="A148" s="47" t="s">
        <v>2522</v>
      </c>
      <c r="B148" s="47" t="s">
        <v>3495</v>
      </c>
      <c r="C148" s="47">
        <v>2026</v>
      </c>
      <c r="D148" s="47" t="s">
        <v>3496</v>
      </c>
      <c r="E148" s="47" t="s">
        <v>734</v>
      </c>
      <c r="F148" s="47" t="s">
        <v>3497</v>
      </c>
      <c r="G148" s="47" t="s">
        <v>183</v>
      </c>
      <c r="H148" s="47"/>
      <c r="I148" s="47" t="s">
        <v>226</v>
      </c>
      <c r="J148" s="47" t="s">
        <v>282</v>
      </c>
      <c r="K148" s="47" t="s">
        <v>283</v>
      </c>
      <c r="L148" s="47" t="s">
        <v>284</v>
      </c>
      <c r="M148" s="47" t="s">
        <v>275</v>
      </c>
      <c r="N148" s="47" t="s">
        <v>3472</v>
      </c>
      <c r="O148" s="47" t="s">
        <v>2105</v>
      </c>
      <c r="P148" s="47" t="s">
        <v>3473</v>
      </c>
      <c r="Q148" s="47" t="s">
        <v>569</v>
      </c>
      <c r="R148" s="47"/>
      <c r="S148" s="48"/>
      <c r="T148" s="48" t="s">
        <v>3258</v>
      </c>
      <c r="U148" t="str">
        <f>IF(COUNTIF('Survey 1 Papers'!$D:$D,D148)&gt;0,"Shared with S1","Unique")</f>
        <v>Unique</v>
      </c>
    </row>
    <row r="149" spans="1:21" x14ac:dyDescent="0.35">
      <c r="A149" s="47" t="s">
        <v>286</v>
      </c>
      <c r="B149" s="47" t="s">
        <v>3498</v>
      </c>
      <c r="C149" s="47">
        <v>2015</v>
      </c>
      <c r="D149" s="47" t="s">
        <v>3499</v>
      </c>
      <c r="E149" s="47" t="s">
        <v>3500</v>
      </c>
      <c r="F149" s="47" t="s">
        <v>3501</v>
      </c>
      <c r="G149" s="47" t="s">
        <v>3405</v>
      </c>
      <c r="H149" s="47"/>
      <c r="I149" s="47" t="s">
        <v>226</v>
      </c>
      <c r="J149" s="47" t="s">
        <v>273</v>
      </c>
      <c r="K149" s="47" t="s">
        <v>283</v>
      </c>
      <c r="L149" s="47" t="s">
        <v>238</v>
      </c>
      <c r="M149" s="47" t="s">
        <v>275</v>
      </c>
      <c r="N149" s="47" t="s">
        <v>3326</v>
      </c>
      <c r="O149" s="47" t="s">
        <v>3502</v>
      </c>
      <c r="P149" s="47" t="s">
        <v>568</v>
      </c>
      <c r="Q149" s="47" t="s">
        <v>569</v>
      </c>
      <c r="R149" s="47"/>
      <c r="S149" s="48"/>
      <c r="T149" s="48" t="s">
        <v>3258</v>
      </c>
      <c r="U149" t="str">
        <f>IF(COUNTIF('Survey 1 Papers'!$D:$D,D149)&gt;0,"Shared with S1","Unique")</f>
        <v>Unique</v>
      </c>
    </row>
    <row r="150" spans="1:21" x14ac:dyDescent="0.35">
      <c r="A150" s="47" t="s">
        <v>286</v>
      </c>
      <c r="B150" s="47" t="s">
        <v>3503</v>
      </c>
      <c r="C150" s="47">
        <v>2016</v>
      </c>
      <c r="D150" s="47" t="s">
        <v>3504</v>
      </c>
      <c r="E150" s="47" t="s">
        <v>3505</v>
      </c>
      <c r="F150" s="47" t="s">
        <v>3506</v>
      </c>
      <c r="G150" s="47" t="s">
        <v>549</v>
      </c>
      <c r="H150" s="47"/>
      <c r="I150" s="47" t="s">
        <v>226</v>
      </c>
      <c r="J150" s="47" t="s">
        <v>273</v>
      </c>
      <c r="K150" s="47" t="s">
        <v>283</v>
      </c>
      <c r="L150" s="47" t="s">
        <v>238</v>
      </c>
      <c r="M150" s="47" t="s">
        <v>275</v>
      </c>
      <c r="N150" s="47" t="s">
        <v>3326</v>
      </c>
      <c r="O150" s="47" t="s">
        <v>3507</v>
      </c>
      <c r="P150" s="47" t="s">
        <v>2043</v>
      </c>
      <c r="Q150" s="47" t="s">
        <v>569</v>
      </c>
      <c r="R150" s="47"/>
      <c r="S150" s="48"/>
      <c r="T150" s="48" t="s">
        <v>3258</v>
      </c>
      <c r="U150" t="str">
        <f>IF(COUNTIF('Survey 1 Papers'!$D:$D,D150)&gt;0,"Shared with S1","Unique")</f>
        <v>Unique</v>
      </c>
    </row>
    <row r="151" spans="1:21" x14ac:dyDescent="0.35">
      <c r="A151" s="47" t="s">
        <v>286</v>
      </c>
      <c r="B151" s="47" t="s">
        <v>3508</v>
      </c>
      <c r="C151" s="47">
        <v>2016</v>
      </c>
      <c r="D151" s="47" t="s">
        <v>3509</v>
      </c>
      <c r="E151" s="47" t="s">
        <v>3510</v>
      </c>
      <c r="F151" s="47" t="s">
        <v>3511</v>
      </c>
      <c r="G151" s="47" t="s">
        <v>3405</v>
      </c>
      <c r="H151" s="47"/>
      <c r="I151" s="47" t="s">
        <v>226</v>
      </c>
      <c r="J151" s="47" t="s">
        <v>273</v>
      </c>
      <c r="K151" s="47" t="s">
        <v>283</v>
      </c>
      <c r="L151" s="47" t="s">
        <v>238</v>
      </c>
      <c r="M151" s="47" t="s">
        <v>275</v>
      </c>
      <c r="N151" s="47" t="s">
        <v>3326</v>
      </c>
      <c r="O151" s="47" t="s">
        <v>3512</v>
      </c>
      <c r="P151" s="47" t="s">
        <v>568</v>
      </c>
      <c r="Q151" s="47" t="s">
        <v>569</v>
      </c>
      <c r="R151" s="47"/>
      <c r="S151" s="48"/>
      <c r="T151" s="48" t="s">
        <v>3258</v>
      </c>
      <c r="U151" t="str">
        <f>IF(COUNTIF('Survey 1 Papers'!$D:$D,D151)&gt;0,"Shared with S1","Unique")</f>
        <v>Unique</v>
      </c>
    </row>
    <row r="152" spans="1:21" x14ac:dyDescent="0.35">
      <c r="A152" s="47" t="s">
        <v>286</v>
      </c>
      <c r="B152" s="47" t="s">
        <v>3513</v>
      </c>
      <c r="C152" s="47">
        <v>2016</v>
      </c>
      <c r="D152" s="47" t="s">
        <v>3514</v>
      </c>
      <c r="E152" s="47" t="s">
        <v>3515</v>
      </c>
      <c r="F152" s="47" t="s">
        <v>3516</v>
      </c>
      <c r="G152" s="47" t="s">
        <v>549</v>
      </c>
      <c r="H152" s="47"/>
      <c r="I152" s="47" t="s">
        <v>226</v>
      </c>
      <c r="J152" s="47" t="s">
        <v>273</v>
      </c>
      <c r="K152" s="47" t="s">
        <v>283</v>
      </c>
      <c r="L152" s="47" t="s">
        <v>238</v>
      </c>
      <c r="M152" s="47" t="s">
        <v>275</v>
      </c>
      <c r="N152" s="47" t="s">
        <v>240</v>
      </c>
      <c r="O152" s="47" t="s">
        <v>3517</v>
      </c>
      <c r="P152" s="47" t="s">
        <v>3518</v>
      </c>
      <c r="Q152" s="47" t="s">
        <v>569</v>
      </c>
      <c r="R152" s="47"/>
      <c r="S152" s="48"/>
      <c r="T152" s="48" t="s">
        <v>3258</v>
      </c>
      <c r="U152" t="str">
        <f>IF(COUNTIF('Survey 1 Papers'!$D:$D,D152)&gt;0,"Shared with S1","Unique")</f>
        <v>Unique</v>
      </c>
    </row>
    <row r="153" spans="1:21" x14ac:dyDescent="0.35">
      <c r="A153" s="47" t="s">
        <v>286</v>
      </c>
      <c r="B153" s="47" t="s">
        <v>3519</v>
      </c>
      <c r="C153" s="47">
        <v>2017</v>
      </c>
      <c r="D153" s="47" t="s">
        <v>3520</v>
      </c>
      <c r="E153" s="47" t="s">
        <v>3521</v>
      </c>
      <c r="F153" s="47" t="s">
        <v>3522</v>
      </c>
      <c r="G153" s="47" t="s">
        <v>549</v>
      </c>
      <c r="H153" s="47"/>
      <c r="I153" s="47" t="s">
        <v>226</v>
      </c>
      <c r="J153" s="47" t="s">
        <v>273</v>
      </c>
      <c r="K153" s="47" t="s">
        <v>283</v>
      </c>
      <c r="L153" s="47" t="s">
        <v>238</v>
      </c>
      <c r="M153" s="47" t="s">
        <v>272</v>
      </c>
      <c r="N153" s="47" t="s">
        <v>902</v>
      </c>
      <c r="O153" s="47" t="s">
        <v>371</v>
      </c>
      <c r="P153" s="47" t="s">
        <v>570</v>
      </c>
      <c r="Q153" s="47" t="s">
        <v>569</v>
      </c>
      <c r="R153" s="47"/>
      <c r="S153" s="48"/>
      <c r="T153" s="48" t="s">
        <v>3258</v>
      </c>
      <c r="U153" t="str">
        <f>IF(COUNTIF('Survey 1 Papers'!$D:$D,D153)&gt;0,"Shared with S1","Unique")</f>
        <v>Unique</v>
      </c>
    </row>
    <row r="154" spans="1:21" x14ac:dyDescent="0.35">
      <c r="A154" s="47" t="s">
        <v>286</v>
      </c>
      <c r="B154" s="47" t="s">
        <v>3523</v>
      </c>
      <c r="C154" s="47">
        <v>2017</v>
      </c>
      <c r="D154" s="47" t="s">
        <v>3524</v>
      </c>
      <c r="E154" s="47" t="s">
        <v>3525</v>
      </c>
      <c r="F154" s="47" t="s">
        <v>3526</v>
      </c>
      <c r="G154" s="47" t="s">
        <v>314</v>
      </c>
      <c r="H154" s="47"/>
      <c r="I154" s="47" t="s">
        <v>226</v>
      </c>
      <c r="J154" s="47" t="s">
        <v>273</v>
      </c>
      <c r="K154" s="47" t="s">
        <v>283</v>
      </c>
      <c r="L154" s="47" t="s">
        <v>238</v>
      </c>
      <c r="M154" s="47" t="s">
        <v>275</v>
      </c>
      <c r="N154" s="47" t="s">
        <v>3332</v>
      </c>
      <c r="O154" s="47" t="s">
        <v>3527</v>
      </c>
      <c r="P154" s="47" t="s">
        <v>3528</v>
      </c>
      <c r="Q154" s="47" t="s">
        <v>569</v>
      </c>
      <c r="R154" s="47"/>
      <c r="S154" s="48"/>
      <c r="T154" s="48" t="s">
        <v>3258</v>
      </c>
      <c r="U154" t="str">
        <f>IF(COUNTIF('Survey 1 Papers'!$D:$D,D154)&gt;0,"Shared with S1","Unique")</f>
        <v>Unique</v>
      </c>
    </row>
    <row r="155" spans="1:21" x14ac:dyDescent="0.35">
      <c r="A155" s="47" t="s">
        <v>286</v>
      </c>
      <c r="B155" s="47" t="s">
        <v>3529</v>
      </c>
      <c r="C155" s="47">
        <v>2017</v>
      </c>
      <c r="D155" s="47" t="s">
        <v>3530</v>
      </c>
      <c r="E155" s="47" t="s">
        <v>3531</v>
      </c>
      <c r="F155" s="47" t="s">
        <v>3532</v>
      </c>
      <c r="G155" s="47" t="s">
        <v>314</v>
      </c>
      <c r="H155" s="47"/>
      <c r="I155" s="47" t="s">
        <v>226</v>
      </c>
      <c r="J155" s="47" t="s">
        <v>273</v>
      </c>
      <c r="K155" s="47" t="s">
        <v>283</v>
      </c>
      <c r="L155" s="47" t="s">
        <v>238</v>
      </c>
      <c r="M155" s="47" t="s">
        <v>275</v>
      </c>
      <c r="N155" s="47" t="s">
        <v>3326</v>
      </c>
      <c r="O155" s="47" t="s">
        <v>3533</v>
      </c>
      <c r="P155" s="47" t="s">
        <v>568</v>
      </c>
      <c r="Q155" s="47" t="s">
        <v>569</v>
      </c>
      <c r="R155" s="47"/>
      <c r="S155" s="48"/>
      <c r="T155" s="48" t="s">
        <v>3258</v>
      </c>
      <c r="U155" t="str">
        <f>IF(COUNTIF('Survey 1 Papers'!$D:$D,D155)&gt;0,"Shared with S1","Unique")</f>
        <v>Unique</v>
      </c>
    </row>
    <row r="156" spans="1:21" x14ac:dyDescent="0.35">
      <c r="A156" s="47" t="s">
        <v>286</v>
      </c>
      <c r="B156" s="47" t="s">
        <v>3534</v>
      </c>
      <c r="C156" s="47">
        <v>2017</v>
      </c>
      <c r="D156" s="47" t="s">
        <v>3535</v>
      </c>
      <c r="E156" s="47" t="s">
        <v>3536</v>
      </c>
      <c r="F156" s="47" t="s">
        <v>3537</v>
      </c>
      <c r="G156" s="47" t="s">
        <v>3405</v>
      </c>
      <c r="H156" s="47"/>
      <c r="I156" s="47" t="s">
        <v>226</v>
      </c>
      <c r="J156" s="47" t="s">
        <v>273</v>
      </c>
      <c r="K156" s="47" t="s">
        <v>283</v>
      </c>
      <c r="L156" s="47" t="s">
        <v>238</v>
      </c>
      <c r="M156" s="47" t="s">
        <v>272</v>
      </c>
      <c r="N156" s="47" t="s">
        <v>240</v>
      </c>
      <c r="O156" s="47" t="s">
        <v>371</v>
      </c>
      <c r="P156" s="47" t="s">
        <v>568</v>
      </c>
      <c r="Q156" s="47" t="s">
        <v>569</v>
      </c>
      <c r="R156" s="47"/>
      <c r="S156" s="48"/>
      <c r="T156" s="48" t="s">
        <v>3258</v>
      </c>
      <c r="U156" t="str">
        <f>IF(COUNTIF('Survey 1 Papers'!$D:$D,D156)&gt;0,"Shared with S1","Unique")</f>
        <v>Unique</v>
      </c>
    </row>
    <row r="157" spans="1:21" x14ac:dyDescent="0.35">
      <c r="A157" s="47" t="s">
        <v>286</v>
      </c>
      <c r="B157" s="47" t="s">
        <v>3538</v>
      </c>
      <c r="C157" s="47">
        <v>2018</v>
      </c>
      <c r="D157" s="47" t="s">
        <v>3539</v>
      </c>
      <c r="E157" s="47" t="s">
        <v>3540</v>
      </c>
      <c r="F157" s="47" t="s">
        <v>3541</v>
      </c>
      <c r="G157" s="47" t="s">
        <v>314</v>
      </c>
      <c r="H157" s="47"/>
      <c r="I157" s="47" t="s">
        <v>226</v>
      </c>
      <c r="J157" s="47" t="s">
        <v>273</v>
      </c>
      <c r="K157" s="47" t="s">
        <v>283</v>
      </c>
      <c r="L157" s="47" t="s">
        <v>284</v>
      </c>
      <c r="M157" s="47" t="s">
        <v>275</v>
      </c>
      <c r="N157" s="47" t="s">
        <v>3542</v>
      </c>
      <c r="O157" s="47" t="s">
        <v>3543</v>
      </c>
      <c r="P157" s="47" t="s">
        <v>2043</v>
      </c>
      <c r="Q157" s="47" t="s">
        <v>569</v>
      </c>
      <c r="R157" s="47"/>
      <c r="S157" s="48"/>
      <c r="T157" s="48" t="s">
        <v>3258</v>
      </c>
      <c r="U157" t="str">
        <f>IF(COUNTIF('Survey 1 Papers'!$D:$D,D157)&gt;0,"Shared with S1","Unique")</f>
        <v>Unique</v>
      </c>
    </row>
    <row r="158" spans="1:21" x14ac:dyDescent="0.35">
      <c r="A158" s="47" t="s">
        <v>286</v>
      </c>
      <c r="B158" s="47" t="s">
        <v>3544</v>
      </c>
      <c r="C158" s="47">
        <v>2018</v>
      </c>
      <c r="D158" s="47" t="s">
        <v>3545</v>
      </c>
      <c r="E158" s="47" t="s">
        <v>3546</v>
      </c>
      <c r="F158" s="47" t="s">
        <v>3547</v>
      </c>
      <c r="G158" s="47" t="s">
        <v>314</v>
      </c>
      <c r="H158" s="47"/>
      <c r="I158" s="47" t="s">
        <v>226</v>
      </c>
      <c r="J158" s="47" t="s">
        <v>273</v>
      </c>
      <c r="K158" s="47" t="s">
        <v>283</v>
      </c>
      <c r="L158" s="47" t="s">
        <v>238</v>
      </c>
      <c r="M158" s="47" t="s">
        <v>275</v>
      </c>
      <c r="N158" s="47" t="s">
        <v>3326</v>
      </c>
      <c r="O158" s="47" t="s">
        <v>3548</v>
      </c>
      <c r="P158" s="47" t="s">
        <v>568</v>
      </c>
      <c r="Q158" s="47" t="s">
        <v>569</v>
      </c>
      <c r="R158" s="47"/>
      <c r="S158" s="48"/>
      <c r="T158" s="48" t="s">
        <v>3258</v>
      </c>
      <c r="U158" t="str">
        <f>IF(COUNTIF('Survey 1 Papers'!$D:$D,D158)&gt;0,"Shared with S1","Unique")</f>
        <v>Unique</v>
      </c>
    </row>
    <row r="159" spans="1:21" x14ac:dyDescent="0.35">
      <c r="A159" s="47" t="s">
        <v>286</v>
      </c>
      <c r="B159" s="47" t="s">
        <v>3549</v>
      </c>
      <c r="C159" s="47">
        <v>2019</v>
      </c>
      <c r="D159" s="47" t="s">
        <v>3550</v>
      </c>
      <c r="E159" s="47" t="s">
        <v>3551</v>
      </c>
      <c r="F159" s="47" t="s">
        <v>3552</v>
      </c>
      <c r="G159" s="47" t="s">
        <v>314</v>
      </c>
      <c r="H159" s="47"/>
      <c r="I159" s="47" t="s">
        <v>226</v>
      </c>
      <c r="J159" s="47" t="s">
        <v>273</v>
      </c>
      <c r="K159" s="47" t="s">
        <v>283</v>
      </c>
      <c r="L159" s="47" t="s">
        <v>238</v>
      </c>
      <c r="M159" s="47" t="s">
        <v>275</v>
      </c>
      <c r="N159" s="47" t="s">
        <v>3326</v>
      </c>
      <c r="O159" s="47" t="s">
        <v>3553</v>
      </c>
      <c r="P159" s="47" t="s">
        <v>568</v>
      </c>
      <c r="Q159" s="47" t="s">
        <v>569</v>
      </c>
      <c r="R159" s="47"/>
      <c r="S159" s="48"/>
      <c r="T159" s="48" t="s">
        <v>3258</v>
      </c>
      <c r="U159" t="str">
        <f>IF(COUNTIF('Survey 1 Papers'!$D:$D,D159)&gt;0,"Shared with S1","Unique")</f>
        <v>Unique</v>
      </c>
    </row>
    <row r="160" spans="1:21" x14ac:dyDescent="0.35">
      <c r="A160" s="47" t="s">
        <v>286</v>
      </c>
      <c r="B160" s="47" t="s">
        <v>3554</v>
      </c>
      <c r="C160" s="47">
        <v>2020</v>
      </c>
      <c r="D160" s="47" t="s">
        <v>3555</v>
      </c>
      <c r="E160" s="47" t="s">
        <v>3556</v>
      </c>
      <c r="F160" s="47" t="s">
        <v>3557</v>
      </c>
      <c r="G160" s="47" t="s">
        <v>174</v>
      </c>
      <c r="H160" s="47"/>
      <c r="I160" s="47" t="s">
        <v>227</v>
      </c>
      <c r="J160" s="47" t="s">
        <v>273</v>
      </c>
      <c r="K160" s="47" t="s">
        <v>283</v>
      </c>
      <c r="L160" s="47" t="s">
        <v>238</v>
      </c>
      <c r="M160" s="47" t="s">
        <v>272</v>
      </c>
      <c r="N160" s="47" t="s">
        <v>240</v>
      </c>
      <c r="O160" s="47" t="s">
        <v>3558</v>
      </c>
      <c r="P160" s="47" t="s">
        <v>568</v>
      </c>
      <c r="Q160" s="47" t="s">
        <v>569</v>
      </c>
      <c r="R160" s="47"/>
      <c r="S160" s="48"/>
      <c r="T160" s="48" t="s">
        <v>3258</v>
      </c>
      <c r="U160" t="str">
        <f>IF(COUNTIF('Survey 1 Papers'!$D:$D,D160)&gt;0,"Shared with S1","Unique")</f>
        <v>Unique</v>
      </c>
    </row>
    <row r="161" spans="1:21" x14ac:dyDescent="0.35">
      <c r="A161" s="47" t="s">
        <v>286</v>
      </c>
      <c r="B161" s="47" t="s">
        <v>3365</v>
      </c>
      <c r="C161" s="47">
        <v>2020</v>
      </c>
      <c r="D161" s="47" t="s">
        <v>3559</v>
      </c>
      <c r="E161" s="47" t="s">
        <v>3560</v>
      </c>
      <c r="F161" s="47" t="s">
        <v>3561</v>
      </c>
      <c r="G161" s="47" t="s">
        <v>174</v>
      </c>
      <c r="H161" s="47"/>
      <c r="I161" s="47" t="s">
        <v>227</v>
      </c>
      <c r="J161" s="47" t="s">
        <v>273</v>
      </c>
      <c r="K161" s="47" t="s">
        <v>283</v>
      </c>
      <c r="L161" s="47" t="s">
        <v>238</v>
      </c>
      <c r="M161" s="47" t="s">
        <v>272</v>
      </c>
      <c r="N161" s="47" t="s">
        <v>240</v>
      </c>
      <c r="O161" s="47" t="s">
        <v>371</v>
      </c>
      <c r="P161" s="47" t="s">
        <v>568</v>
      </c>
      <c r="Q161" s="47" t="s">
        <v>569</v>
      </c>
      <c r="R161" s="47"/>
      <c r="S161" s="48"/>
      <c r="T161" s="48" t="s">
        <v>3258</v>
      </c>
      <c r="U161" t="str">
        <f>IF(COUNTIF('Survey 1 Papers'!$D:$D,D161)&gt;0,"Shared with S1","Unique")</f>
        <v>Unique</v>
      </c>
    </row>
    <row r="162" spans="1:21" x14ac:dyDescent="0.35">
      <c r="A162" s="47" t="s">
        <v>286</v>
      </c>
      <c r="B162" s="47" t="s">
        <v>3562</v>
      </c>
      <c r="C162" s="47">
        <v>2023</v>
      </c>
      <c r="D162" s="47" t="s">
        <v>3563</v>
      </c>
      <c r="E162" s="47" t="s">
        <v>3564</v>
      </c>
      <c r="F162" s="47" t="s">
        <v>3565</v>
      </c>
      <c r="G162" s="47" t="s">
        <v>3405</v>
      </c>
      <c r="H162" s="47"/>
      <c r="I162" s="47" t="s">
        <v>226</v>
      </c>
      <c r="J162" s="47" t="s">
        <v>273</v>
      </c>
      <c r="K162" s="47" t="s">
        <v>283</v>
      </c>
      <c r="L162" s="47" t="s">
        <v>284</v>
      </c>
      <c r="M162" s="47" t="s">
        <v>275</v>
      </c>
      <c r="N162" s="47" t="s">
        <v>3450</v>
      </c>
      <c r="O162" s="47" t="s">
        <v>3566</v>
      </c>
      <c r="P162" s="47" t="s">
        <v>2043</v>
      </c>
      <c r="Q162" s="47" t="s">
        <v>569</v>
      </c>
      <c r="R162" s="47"/>
      <c r="S162" s="48"/>
      <c r="T162" s="48" t="s">
        <v>3258</v>
      </c>
      <c r="U162" t="str">
        <f>IF(COUNTIF('Survey 1 Papers'!$D:$D,D162)&gt;0,"Shared with S1","Unique")</f>
        <v>Unique</v>
      </c>
    </row>
    <row r="163" spans="1:21" x14ac:dyDescent="0.35">
      <c r="A163" s="47" t="s">
        <v>286</v>
      </c>
      <c r="B163" s="47" t="s">
        <v>3567</v>
      </c>
      <c r="C163" s="47">
        <v>2023</v>
      </c>
      <c r="D163" s="47" t="s">
        <v>3568</v>
      </c>
      <c r="E163" s="47" t="s">
        <v>3569</v>
      </c>
      <c r="F163" s="47" t="s">
        <v>3570</v>
      </c>
      <c r="G163" s="47" t="s">
        <v>174</v>
      </c>
      <c r="H163" s="47"/>
      <c r="I163" s="47" t="s">
        <v>227</v>
      </c>
      <c r="J163" s="47" t="s">
        <v>273</v>
      </c>
      <c r="K163" s="47" t="s">
        <v>283</v>
      </c>
      <c r="L163" s="47" t="s">
        <v>238</v>
      </c>
      <c r="M163" s="47" t="s">
        <v>272</v>
      </c>
      <c r="N163" s="47" t="s">
        <v>478</v>
      </c>
      <c r="O163" s="47" t="s">
        <v>371</v>
      </c>
      <c r="P163" s="47" t="s">
        <v>568</v>
      </c>
      <c r="Q163" s="47" t="s">
        <v>569</v>
      </c>
      <c r="R163" s="47"/>
      <c r="S163" s="48"/>
      <c r="T163" s="48" t="s">
        <v>3258</v>
      </c>
      <c r="U163" t="str">
        <f>IF(COUNTIF('Survey 1 Papers'!$D:$D,D163)&gt;0,"Shared with S1","Unique")</f>
        <v>Unique</v>
      </c>
    </row>
    <row r="164" spans="1:21" x14ac:dyDescent="0.35">
      <c r="A164" s="47" t="s">
        <v>286</v>
      </c>
      <c r="B164" s="47" t="s">
        <v>3571</v>
      </c>
      <c r="C164" s="47">
        <v>2023</v>
      </c>
      <c r="D164" s="47" t="s">
        <v>3572</v>
      </c>
      <c r="E164" s="47" t="s">
        <v>3573</v>
      </c>
      <c r="F164" s="47" t="s">
        <v>3574</v>
      </c>
      <c r="G164" s="47" t="s">
        <v>3405</v>
      </c>
      <c r="H164" s="47"/>
      <c r="I164" s="47" t="s">
        <v>226</v>
      </c>
      <c r="J164" s="47" t="s">
        <v>273</v>
      </c>
      <c r="K164" s="47" t="s">
        <v>283</v>
      </c>
      <c r="L164" s="47" t="s">
        <v>238</v>
      </c>
      <c r="M164" s="47" t="s">
        <v>275</v>
      </c>
      <c r="N164" s="47" t="s">
        <v>3326</v>
      </c>
      <c r="O164" s="47" t="s">
        <v>3575</v>
      </c>
      <c r="P164" s="47" t="s">
        <v>568</v>
      </c>
      <c r="Q164" s="47" t="s">
        <v>569</v>
      </c>
      <c r="R164" s="47"/>
      <c r="S164" s="48"/>
      <c r="T164" s="48" t="s">
        <v>3258</v>
      </c>
      <c r="U164" t="str">
        <f>IF(COUNTIF('Survey 1 Papers'!$D:$D,D164)&gt;0,"Shared with S1","Unique")</f>
        <v>Unique</v>
      </c>
    </row>
    <row r="165" spans="1:21" x14ac:dyDescent="0.35">
      <c r="A165" s="47" t="s">
        <v>286</v>
      </c>
      <c r="B165" s="47" t="s">
        <v>3576</v>
      </c>
      <c r="C165" s="47">
        <v>2025</v>
      </c>
      <c r="D165" s="47" t="s">
        <v>3577</v>
      </c>
      <c r="E165" s="47" t="s">
        <v>3578</v>
      </c>
      <c r="F165" s="47" t="s">
        <v>3579</v>
      </c>
      <c r="G165" s="47" t="s">
        <v>314</v>
      </c>
      <c r="H165" s="47"/>
      <c r="I165" s="47" t="s">
        <v>226</v>
      </c>
      <c r="J165" s="47" t="s">
        <v>273</v>
      </c>
      <c r="K165" s="47" t="s">
        <v>283</v>
      </c>
      <c r="L165" s="47" t="s">
        <v>284</v>
      </c>
      <c r="M165" s="47" t="s">
        <v>275</v>
      </c>
      <c r="N165" s="47" t="s">
        <v>3542</v>
      </c>
      <c r="O165" s="47" t="s">
        <v>3580</v>
      </c>
      <c r="P165" s="47" t="s">
        <v>2043</v>
      </c>
      <c r="Q165" s="47" t="s">
        <v>569</v>
      </c>
      <c r="R165" s="47"/>
      <c r="S165" s="48"/>
      <c r="T165" s="48" t="s">
        <v>3258</v>
      </c>
      <c r="U165" t="str">
        <f>IF(COUNTIF('Survey 1 Papers'!$D:$D,D165)&gt;0,"Shared with S1","Unique")</f>
        <v>Unique</v>
      </c>
    </row>
    <row r="166" spans="1:21" x14ac:dyDescent="0.35">
      <c r="A166" s="47" t="s">
        <v>3581</v>
      </c>
      <c r="B166" s="47" t="s">
        <v>3582</v>
      </c>
      <c r="C166" s="47">
        <v>2014</v>
      </c>
      <c r="D166" s="47" t="s">
        <v>3583</v>
      </c>
      <c r="E166" s="47" t="s">
        <v>3584</v>
      </c>
      <c r="F166" s="47" t="s">
        <v>3585</v>
      </c>
      <c r="G166" s="47" t="s">
        <v>314</v>
      </c>
      <c r="H166" s="47"/>
      <c r="I166" s="47" t="s">
        <v>225</v>
      </c>
      <c r="J166" s="47" t="s">
        <v>273</v>
      </c>
      <c r="K166" s="47" t="s">
        <v>1810</v>
      </c>
      <c r="L166" s="47" t="s">
        <v>238</v>
      </c>
      <c r="M166" s="47" t="s">
        <v>275</v>
      </c>
      <c r="N166" s="47" t="s">
        <v>3332</v>
      </c>
      <c r="O166" s="47" t="s">
        <v>3586</v>
      </c>
      <c r="P166" s="47" t="s">
        <v>3587</v>
      </c>
      <c r="Q166" s="47" t="s">
        <v>569</v>
      </c>
      <c r="R166" s="47"/>
      <c r="S166" s="48"/>
      <c r="T166" s="48" t="s">
        <v>3258</v>
      </c>
      <c r="U166" t="str">
        <f>IF(COUNTIF('Survey 1 Papers'!$D:$D,D166)&gt;0,"Shared with S1","Unique")</f>
        <v>Unique</v>
      </c>
    </row>
    <row r="167" spans="1:21" x14ac:dyDescent="0.35">
      <c r="A167" s="47" t="s">
        <v>3581</v>
      </c>
      <c r="B167" s="47" t="s">
        <v>3588</v>
      </c>
      <c r="C167" s="47">
        <v>2016</v>
      </c>
      <c r="D167" s="47" t="s">
        <v>3589</v>
      </c>
      <c r="E167" s="47" t="s">
        <v>3590</v>
      </c>
      <c r="F167" s="47" t="s">
        <v>3591</v>
      </c>
      <c r="G167" s="47" t="s">
        <v>3405</v>
      </c>
      <c r="H167" s="47"/>
      <c r="I167" s="47" t="s">
        <v>226</v>
      </c>
      <c r="J167" s="47" t="s">
        <v>273</v>
      </c>
      <c r="K167" s="47" t="s">
        <v>283</v>
      </c>
      <c r="L167" s="47" t="s">
        <v>238</v>
      </c>
      <c r="M167" s="47" t="s">
        <v>275</v>
      </c>
      <c r="N167" s="47" t="s">
        <v>3592</v>
      </c>
      <c r="O167" s="47" t="s">
        <v>3593</v>
      </c>
      <c r="P167" s="47" t="s">
        <v>3587</v>
      </c>
      <c r="Q167" s="47" t="s">
        <v>569</v>
      </c>
      <c r="R167" s="47"/>
      <c r="S167" s="48"/>
      <c r="T167" s="48" t="s">
        <v>3258</v>
      </c>
      <c r="U167" t="str">
        <f>IF(COUNTIF('Survey 1 Papers'!$D:$D,D167)&gt;0,"Shared with S1","Unique")</f>
        <v>Unique</v>
      </c>
    </row>
    <row r="168" spans="1:21" x14ac:dyDescent="0.35">
      <c r="A168" s="47" t="s">
        <v>3581</v>
      </c>
      <c r="B168" s="47" t="s">
        <v>3538</v>
      </c>
      <c r="C168" s="47">
        <v>2017</v>
      </c>
      <c r="D168" s="47" t="s">
        <v>3594</v>
      </c>
      <c r="E168" s="47" t="s">
        <v>3595</v>
      </c>
      <c r="F168" s="47" t="s">
        <v>3596</v>
      </c>
      <c r="G168" s="47" t="s">
        <v>174</v>
      </c>
      <c r="H168" s="47"/>
      <c r="I168" s="47" t="s">
        <v>226</v>
      </c>
      <c r="J168" s="47" t="s">
        <v>273</v>
      </c>
      <c r="K168" s="47" t="s">
        <v>283</v>
      </c>
      <c r="L168" s="47" t="s">
        <v>238</v>
      </c>
      <c r="M168" s="47" t="s">
        <v>275</v>
      </c>
      <c r="N168" s="47" t="s">
        <v>3332</v>
      </c>
      <c r="O168" s="47" t="s">
        <v>371</v>
      </c>
      <c r="P168" s="47" t="s">
        <v>3597</v>
      </c>
      <c r="Q168" s="47" t="s">
        <v>569</v>
      </c>
      <c r="R168" s="47"/>
      <c r="S168" s="48"/>
      <c r="T168" s="48" t="s">
        <v>3258</v>
      </c>
      <c r="U168" t="str">
        <f>IF(COUNTIF('Survey 1 Papers'!$D:$D,D168)&gt;0,"Shared with S1","Unique")</f>
        <v>Unique</v>
      </c>
    </row>
    <row r="169" spans="1:21" x14ac:dyDescent="0.35">
      <c r="A169" s="47" t="s">
        <v>3581</v>
      </c>
      <c r="B169" s="47" t="s">
        <v>3598</v>
      </c>
      <c r="C169" s="47">
        <v>2018</v>
      </c>
      <c r="D169" s="47" t="s">
        <v>3599</v>
      </c>
      <c r="E169" s="47" t="s">
        <v>3600</v>
      </c>
      <c r="F169" s="47" t="s">
        <v>3601</v>
      </c>
      <c r="G169" s="47" t="s">
        <v>314</v>
      </c>
      <c r="H169" s="47"/>
      <c r="I169" s="47" t="s">
        <v>226</v>
      </c>
      <c r="J169" s="47" t="s">
        <v>273</v>
      </c>
      <c r="K169" s="47" t="s">
        <v>1810</v>
      </c>
      <c r="L169" s="47" t="s">
        <v>238</v>
      </c>
      <c r="M169" s="47" t="s">
        <v>275</v>
      </c>
      <c r="N169" s="47" t="s">
        <v>3542</v>
      </c>
      <c r="O169" s="47" t="s">
        <v>3602</v>
      </c>
      <c r="P169" s="47" t="s">
        <v>3587</v>
      </c>
      <c r="Q169" s="47" t="s">
        <v>569</v>
      </c>
      <c r="R169" s="47"/>
      <c r="S169" s="48"/>
      <c r="T169" s="48" t="s">
        <v>3258</v>
      </c>
      <c r="U169" t="str">
        <f>IF(COUNTIF('Survey 1 Papers'!$D:$D,D169)&gt;0,"Shared with S1","Unique")</f>
        <v>Unique</v>
      </c>
    </row>
    <row r="170" spans="1:21" x14ac:dyDescent="0.35">
      <c r="A170" s="47" t="s">
        <v>3581</v>
      </c>
      <c r="B170" s="47" t="s">
        <v>3582</v>
      </c>
      <c r="C170" s="47">
        <v>2018</v>
      </c>
      <c r="D170" s="47" t="s">
        <v>3603</v>
      </c>
      <c r="E170" s="47" t="s">
        <v>3604</v>
      </c>
      <c r="F170" s="47" t="s">
        <v>3605</v>
      </c>
      <c r="G170" s="47" t="s">
        <v>549</v>
      </c>
      <c r="H170" s="47"/>
      <c r="I170" s="47" t="s">
        <v>226</v>
      </c>
      <c r="J170" s="47" t="s">
        <v>273</v>
      </c>
      <c r="K170" s="47" t="s">
        <v>1810</v>
      </c>
      <c r="L170" s="47" t="s">
        <v>238</v>
      </c>
      <c r="M170" s="47" t="s">
        <v>275</v>
      </c>
      <c r="N170" s="47" t="s">
        <v>3326</v>
      </c>
      <c r="O170" s="47" t="s">
        <v>3586</v>
      </c>
      <c r="P170" s="47" t="s">
        <v>3587</v>
      </c>
      <c r="Q170" s="47" t="s">
        <v>569</v>
      </c>
      <c r="R170" s="47"/>
      <c r="S170" s="48"/>
      <c r="T170" s="48" t="s">
        <v>3258</v>
      </c>
      <c r="U170" t="str">
        <f>IF(COUNTIF('Survey 1 Papers'!$D:$D,D170)&gt;0,"Shared with S1","Unique")</f>
        <v>Unique</v>
      </c>
    </row>
    <row r="171" spans="1:21" x14ac:dyDescent="0.35">
      <c r="A171" s="47" t="s">
        <v>1800</v>
      </c>
      <c r="B171" s="47" t="s">
        <v>3606</v>
      </c>
      <c r="C171" s="47">
        <v>2017</v>
      </c>
      <c r="D171" s="47" t="s">
        <v>3607</v>
      </c>
      <c r="E171" s="47" t="s">
        <v>3608</v>
      </c>
      <c r="F171" s="47" t="s">
        <v>3609</v>
      </c>
      <c r="G171" s="47" t="s">
        <v>549</v>
      </c>
      <c r="H171" s="47"/>
      <c r="I171" s="47" t="s">
        <v>226</v>
      </c>
      <c r="J171" s="47" t="s">
        <v>273</v>
      </c>
      <c r="K171" s="47" t="s">
        <v>283</v>
      </c>
      <c r="L171" s="47" t="s">
        <v>238</v>
      </c>
      <c r="M171" s="47" t="s">
        <v>275</v>
      </c>
      <c r="N171" s="47" t="s">
        <v>240</v>
      </c>
      <c r="O171" s="47" t="s">
        <v>3610</v>
      </c>
      <c r="P171" s="47" t="s">
        <v>1801</v>
      </c>
      <c r="Q171" s="47" t="s">
        <v>569</v>
      </c>
      <c r="R171" s="47"/>
      <c r="S171" s="48"/>
      <c r="T171" s="48" t="s">
        <v>3258</v>
      </c>
      <c r="U171" t="str">
        <f>IF(COUNTIF('Survey 1 Papers'!$D:$D,D171)&gt;0,"Shared with S1","Unique")</f>
        <v>Unique</v>
      </c>
    </row>
    <row r="172" spans="1:21" x14ac:dyDescent="0.35">
      <c r="A172" s="47" t="s">
        <v>1800</v>
      </c>
      <c r="B172" s="47" t="s">
        <v>3611</v>
      </c>
      <c r="C172" s="47">
        <v>2018</v>
      </c>
      <c r="D172" s="47" t="s">
        <v>3612</v>
      </c>
      <c r="E172" s="47" t="s">
        <v>3613</v>
      </c>
      <c r="F172" s="47" t="s">
        <v>3614</v>
      </c>
      <c r="G172" s="47" t="s">
        <v>174</v>
      </c>
      <c r="H172" s="47"/>
      <c r="I172" s="47" t="s">
        <v>227</v>
      </c>
      <c r="J172" s="47" t="s">
        <v>273</v>
      </c>
      <c r="K172" s="47" t="s">
        <v>283</v>
      </c>
      <c r="L172" s="47" t="s">
        <v>238</v>
      </c>
      <c r="M172" s="47" t="s">
        <v>272</v>
      </c>
      <c r="N172" s="47" t="s">
        <v>240</v>
      </c>
      <c r="O172" s="47" t="s">
        <v>3615</v>
      </c>
      <c r="P172" s="47" t="s">
        <v>1801</v>
      </c>
      <c r="Q172" s="47" t="s">
        <v>569</v>
      </c>
      <c r="R172" s="47"/>
      <c r="S172" s="48"/>
      <c r="T172" s="48" t="s">
        <v>3258</v>
      </c>
      <c r="U172" t="str">
        <f>IF(COUNTIF('Survey 1 Papers'!$D:$D,D172)&gt;0,"Shared with S1","Unique")</f>
        <v>Unique</v>
      </c>
    </row>
    <row r="173" spans="1:21" x14ac:dyDescent="0.35">
      <c r="A173" s="47" t="s">
        <v>1800</v>
      </c>
      <c r="B173" s="47" t="s">
        <v>3611</v>
      </c>
      <c r="C173" s="47">
        <v>2025</v>
      </c>
      <c r="D173" s="47" t="s">
        <v>3616</v>
      </c>
      <c r="E173" s="47" t="s">
        <v>3617</v>
      </c>
      <c r="F173" s="47" t="s">
        <v>3618</v>
      </c>
      <c r="G173" s="47" t="s">
        <v>3405</v>
      </c>
      <c r="H173" s="47"/>
      <c r="I173" s="47" t="s">
        <v>227</v>
      </c>
      <c r="J173" s="47" t="s">
        <v>273</v>
      </c>
      <c r="K173" s="47" t="s">
        <v>283</v>
      </c>
      <c r="L173" s="47" t="s">
        <v>238</v>
      </c>
      <c r="M173" s="47" t="s">
        <v>272</v>
      </c>
      <c r="N173" s="47" t="s">
        <v>240</v>
      </c>
      <c r="O173" s="47" t="s">
        <v>371</v>
      </c>
      <c r="P173" s="47" t="s">
        <v>1801</v>
      </c>
      <c r="Q173" s="47" t="s">
        <v>569</v>
      </c>
      <c r="R173" s="47"/>
      <c r="S173" s="48"/>
      <c r="T173" s="48" t="s">
        <v>3258</v>
      </c>
      <c r="U173" t="str">
        <f>IF(COUNTIF('Survey 1 Papers'!$D:$D,D173)&gt;0,"Shared with S1","Unique")</f>
        <v>Unique</v>
      </c>
    </row>
    <row r="174" spans="1:21" x14ac:dyDescent="0.35">
      <c r="A174" s="47" t="s">
        <v>1800</v>
      </c>
      <c r="B174" s="47" t="s">
        <v>3619</v>
      </c>
      <c r="C174" s="47">
        <v>2025</v>
      </c>
      <c r="D174" s="47" t="s">
        <v>3620</v>
      </c>
      <c r="E174" s="47" t="s">
        <v>3621</v>
      </c>
      <c r="F174" s="47" t="s">
        <v>3622</v>
      </c>
      <c r="G174" s="47" t="s">
        <v>549</v>
      </c>
      <c r="H174" s="47"/>
      <c r="I174" s="47" t="s">
        <v>227</v>
      </c>
      <c r="J174" s="47" t="s">
        <v>273</v>
      </c>
      <c r="K174" s="47" t="s">
        <v>283</v>
      </c>
      <c r="L174" s="47" t="s">
        <v>238</v>
      </c>
      <c r="M174" s="47" t="s">
        <v>272</v>
      </c>
      <c r="N174" s="47" t="s">
        <v>240</v>
      </c>
      <c r="O174" s="47" t="s">
        <v>371</v>
      </c>
      <c r="P174" s="47" t="s">
        <v>1801</v>
      </c>
      <c r="Q174" s="47" t="s">
        <v>569</v>
      </c>
      <c r="R174" s="47"/>
      <c r="S174" s="48"/>
      <c r="T174" s="48" t="s">
        <v>3258</v>
      </c>
      <c r="U174" t="str">
        <f>IF(COUNTIF('Survey 1 Papers'!$D:$D,D174)&gt;0,"Shared with S1","Unique")</f>
        <v>Unique</v>
      </c>
    </row>
    <row r="175" spans="1:21" x14ac:dyDescent="0.35">
      <c r="A175" s="47" t="s">
        <v>3623</v>
      </c>
      <c r="B175" s="47" t="s">
        <v>3567</v>
      </c>
      <c r="C175" s="47">
        <v>2022</v>
      </c>
      <c r="D175" s="47" t="s">
        <v>3624</v>
      </c>
      <c r="E175" s="47" t="s">
        <v>3625</v>
      </c>
      <c r="F175" s="47" t="s">
        <v>3626</v>
      </c>
      <c r="G175" s="47" t="s">
        <v>2456</v>
      </c>
      <c r="H175" s="47"/>
      <c r="I175" s="47" t="s">
        <v>227</v>
      </c>
      <c r="J175" s="47" t="s">
        <v>273</v>
      </c>
      <c r="K175" s="47" t="s">
        <v>283</v>
      </c>
      <c r="L175" s="47" t="s">
        <v>238</v>
      </c>
      <c r="M175" s="47" t="s">
        <v>275</v>
      </c>
      <c r="N175" s="47" t="s">
        <v>3627</v>
      </c>
      <c r="O175" s="47" t="s">
        <v>371</v>
      </c>
      <c r="P175" s="47" t="s">
        <v>3468</v>
      </c>
      <c r="Q175" s="47" t="s">
        <v>569</v>
      </c>
      <c r="R175" s="47"/>
      <c r="S175" s="48"/>
      <c r="T175" s="48" t="s">
        <v>3258</v>
      </c>
      <c r="U175" t="str">
        <f>IF(COUNTIF('Survey 1 Papers'!$D:$D,D175)&gt;0,"Shared with S1","Unique")</f>
        <v>Unique</v>
      </c>
    </row>
    <row r="176" spans="1:21" x14ac:dyDescent="0.35">
      <c r="A176" s="47" t="s">
        <v>3623</v>
      </c>
      <c r="B176" s="47" t="s">
        <v>3576</v>
      </c>
      <c r="C176" s="47">
        <v>2025</v>
      </c>
      <c r="D176" s="47" t="s">
        <v>3628</v>
      </c>
      <c r="E176" s="47" t="s">
        <v>3629</v>
      </c>
      <c r="F176" s="47" t="s">
        <v>3630</v>
      </c>
      <c r="G176" s="47" t="s">
        <v>3405</v>
      </c>
      <c r="H176" s="47"/>
      <c r="I176" s="47" t="s">
        <v>225</v>
      </c>
      <c r="J176" s="47" t="s">
        <v>273</v>
      </c>
      <c r="K176" s="47" t="s">
        <v>283</v>
      </c>
      <c r="L176" s="47" t="s">
        <v>238</v>
      </c>
      <c r="M176" s="47" t="s">
        <v>285</v>
      </c>
      <c r="N176" s="47" t="s">
        <v>233</v>
      </c>
      <c r="O176" s="47" t="s">
        <v>371</v>
      </c>
      <c r="P176" s="47" t="s">
        <v>3468</v>
      </c>
      <c r="Q176" s="47" t="s">
        <v>569</v>
      </c>
      <c r="R176" s="47" t="s">
        <v>3631</v>
      </c>
      <c r="S176" s="48"/>
      <c r="T176" s="48" t="s">
        <v>3258</v>
      </c>
      <c r="U176" t="str">
        <f>IF(COUNTIF('Survey 1 Papers'!$D:$D,D176)&gt;0,"Shared with S1","Unique")</f>
        <v>Unique</v>
      </c>
    </row>
    <row r="177" spans="1:21" x14ac:dyDescent="0.35">
      <c r="A177" s="47" t="s">
        <v>3623</v>
      </c>
      <c r="B177" s="47" t="s">
        <v>3567</v>
      </c>
      <c r="C177" s="47">
        <v>2026</v>
      </c>
      <c r="D177" s="47" t="s">
        <v>3632</v>
      </c>
      <c r="E177" s="47" t="s">
        <v>3633</v>
      </c>
      <c r="F177" s="47" t="s">
        <v>3634</v>
      </c>
      <c r="G177" s="47" t="s">
        <v>174</v>
      </c>
      <c r="H177" s="47"/>
      <c r="I177" s="47" t="s">
        <v>226</v>
      </c>
      <c r="J177" s="47" t="s">
        <v>273</v>
      </c>
      <c r="K177" s="47" t="s">
        <v>283</v>
      </c>
      <c r="L177" s="47" t="s">
        <v>238</v>
      </c>
      <c r="M177" s="47" t="s">
        <v>285</v>
      </c>
      <c r="N177" s="47" t="s">
        <v>233</v>
      </c>
      <c r="O177" s="47" t="s">
        <v>371</v>
      </c>
      <c r="P177" s="47" t="s">
        <v>3468</v>
      </c>
      <c r="Q177" s="47" t="s">
        <v>569</v>
      </c>
      <c r="R177" s="47"/>
      <c r="S177" s="48"/>
      <c r="T177" s="48" t="s">
        <v>3258</v>
      </c>
      <c r="U177" t="str">
        <f>IF(COUNTIF('Survey 1 Papers'!$D:$D,D177)&gt;0,"Shared with S1","Unique")</f>
        <v>Unique</v>
      </c>
    </row>
  </sheetData>
  <conditionalFormatting sqref="Q2:Q29">
    <cfRule type="expression" dxfId="4" priority="1">
      <formula>EXACT($Q2,"Read")</formula>
    </cfRule>
    <cfRule type="expression" dxfId="3" priority="2">
      <formula>EXACT($Q2,"Reading")</formula>
    </cfRule>
  </conditionalFormatting>
  <dataValidations count="1">
    <dataValidation type="list" allowBlank="1" showInputMessage="1" showErrorMessage="1" sqref="Q2:Q29" xr:uid="{97E40AFF-AA57-4118-84E6-1CD806565630}">
      <formula1>"To read,Reading,Read"</formula1>
    </dataValidation>
  </dataValidations>
  <hyperlinks>
    <hyperlink ref="H6" r:id="rId1" xr:uid="{20CD317B-CA68-4A98-8065-7306D32B6E10}"/>
  </hyperlinks>
  <pageMargins left="0.7" right="0.7" top="0.75" bottom="0.75" header="0.3" footer="0.3"/>
  <pageSetup paperSize="9"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B3D8-A99C-4726-969D-7E579B766999}">
  <dimension ref="A1:Y109"/>
  <sheetViews>
    <sheetView topLeftCell="T1" workbookViewId="0">
      <pane ySplit="1" topLeftCell="A2" activePane="bottomLeft" state="frozen"/>
      <selection pane="bottomLeft" activeCell="D27" sqref="D27"/>
    </sheetView>
  </sheetViews>
  <sheetFormatPr defaultRowHeight="14.5" x14ac:dyDescent="0.35"/>
  <cols>
    <col min="1" max="2" width="34.54296875" customWidth="1"/>
    <col min="3" max="3" width="7.6328125" customWidth="1"/>
    <col min="4" max="4" width="60" customWidth="1"/>
    <col min="5" max="5" width="25.453125" customWidth="1"/>
    <col min="6" max="6" width="54.54296875" customWidth="1"/>
    <col min="7" max="7" width="27.26953125" customWidth="1"/>
    <col min="8" max="8" width="38.1796875" customWidth="1"/>
    <col min="9" max="9" width="16" customWidth="1"/>
    <col min="10" max="10" width="23.6328125" customWidth="1"/>
    <col min="11" max="12" width="20" customWidth="1"/>
    <col min="13" max="13" width="16.36328125" customWidth="1"/>
    <col min="14" max="14" width="20" customWidth="1"/>
    <col min="15" max="15" width="54.54296875" customWidth="1"/>
    <col min="16" max="16" width="9.453125" customWidth="1"/>
    <col min="17" max="17" width="14.1796875" customWidth="1"/>
    <col min="18" max="18" width="54.54296875" customWidth="1"/>
    <col min="19" max="19" width="20" customWidth="1"/>
    <col min="20" max="20" width="36.36328125" customWidth="1"/>
    <col min="21" max="21" width="20" customWidth="1"/>
    <col min="23" max="23" width="10.90625" customWidth="1"/>
    <col min="24" max="24" width="47.26953125" customWidth="1"/>
    <col min="25" max="25" width="10" customWidth="1"/>
  </cols>
  <sheetData>
    <row r="1" spans="1:25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266</v>
      </c>
      <c r="K1" s="19" t="s">
        <v>267</v>
      </c>
      <c r="L1" s="19" t="s">
        <v>268</v>
      </c>
      <c r="M1" s="19" t="s">
        <v>269</v>
      </c>
      <c r="N1" s="19" t="s">
        <v>458</v>
      </c>
      <c r="O1" s="19" t="s">
        <v>459</v>
      </c>
      <c r="P1" s="19" t="s">
        <v>565</v>
      </c>
      <c r="Q1" s="19" t="s">
        <v>566</v>
      </c>
      <c r="R1" s="19" t="s">
        <v>567</v>
      </c>
      <c r="S1" s="19" t="s">
        <v>2165</v>
      </c>
      <c r="T1" s="19" t="s">
        <v>2166</v>
      </c>
      <c r="U1" s="19" t="s">
        <v>2641</v>
      </c>
      <c r="W1" s="19" t="s">
        <v>2898</v>
      </c>
      <c r="X1" s="19" t="s">
        <v>365</v>
      </c>
      <c r="Y1" s="19" t="s">
        <v>2647</v>
      </c>
    </row>
    <row r="2" spans="1:25" ht="43.5" x14ac:dyDescent="0.35">
      <c r="A2" s="16" t="s">
        <v>1049</v>
      </c>
      <c r="B2" t="s">
        <v>1050</v>
      </c>
      <c r="C2">
        <v>2022</v>
      </c>
      <c r="D2" t="s">
        <v>1051</v>
      </c>
      <c r="E2" t="s">
        <v>1052</v>
      </c>
      <c r="F2" s="4" t="s">
        <v>1053</v>
      </c>
      <c r="G2" t="s">
        <v>183</v>
      </c>
      <c r="H2" s="17" t="s">
        <v>1054</v>
      </c>
      <c r="I2" t="s">
        <v>225</v>
      </c>
      <c r="J2" t="s">
        <v>1055</v>
      </c>
      <c r="K2" t="s">
        <v>1056</v>
      </c>
      <c r="L2" t="s">
        <v>1057</v>
      </c>
      <c r="M2" t="s">
        <v>285</v>
      </c>
      <c r="N2" t="s">
        <v>235</v>
      </c>
      <c r="O2" s="4" t="s">
        <v>1058</v>
      </c>
      <c r="P2" t="s">
        <v>574</v>
      </c>
      <c r="Q2" t="s">
        <v>569</v>
      </c>
      <c r="R2" s="4" t="s">
        <v>1059</v>
      </c>
      <c r="S2" s="4" t="str">
        <f>P2&amp;IF(M2="High","; §14","")</f>
        <v>§3; §14</v>
      </c>
      <c r="T2" s="4"/>
      <c r="U2" s="4" t="str">
        <f>IF(COUNTIF('Survey 1 Papers'!$D:$D,D2)+COUNTIF('Survey 2 Papers'!$D:$D,D2)&gt;0,"Shared","Unique")</f>
        <v>Unique</v>
      </c>
      <c r="W2" s="53">
        <f>' Survey 3 Outline'!A5</f>
        <v>1</v>
      </c>
      <c r="X2" s="53" t="str">
        <f>' Survey 3 Outline'!B5</f>
        <v>Introduction &amp; Scope</v>
      </c>
      <c r="Y2" cm="1">
        <f t="array" ref="Y2">SUMPRODUCT(--ISNUMBER(SEARCH(";§"&amp;W2&amp;";",";"&amp;SUBSTITUTE($S$2:$S$300," ","")&amp;";")))</f>
        <v>0</v>
      </c>
    </row>
    <row r="3" spans="1:25" ht="43.5" x14ac:dyDescent="0.35">
      <c r="A3" s="16" t="s">
        <v>1049</v>
      </c>
      <c r="B3" t="s">
        <v>1060</v>
      </c>
      <c r="C3">
        <v>2022</v>
      </c>
      <c r="D3" t="s">
        <v>1061</v>
      </c>
      <c r="E3" t="s">
        <v>1052</v>
      </c>
      <c r="F3" s="4" t="s">
        <v>1062</v>
      </c>
      <c r="G3" t="s">
        <v>183</v>
      </c>
      <c r="H3" s="17" t="s">
        <v>1063</v>
      </c>
      <c r="I3" t="s">
        <v>225</v>
      </c>
      <c r="J3" t="s">
        <v>1055</v>
      </c>
      <c r="K3" t="s">
        <v>1056</v>
      </c>
      <c r="L3" t="s">
        <v>1057</v>
      </c>
      <c r="M3" t="s">
        <v>285</v>
      </c>
      <c r="N3" t="s">
        <v>235</v>
      </c>
      <c r="O3" s="4" t="s">
        <v>1064</v>
      </c>
      <c r="P3" t="s">
        <v>574</v>
      </c>
      <c r="Q3" t="s">
        <v>569</v>
      </c>
      <c r="R3" s="4" t="s">
        <v>1065</v>
      </c>
      <c r="S3" s="4" t="str">
        <f t="shared" ref="S3:S64" si="0">P3&amp;IF(M3="High","; §14","")</f>
        <v>§3; §14</v>
      </c>
      <c r="T3" s="4"/>
      <c r="U3" s="4" t="str">
        <f>IF(COUNTIF('Survey 1 Papers'!$D:$D,D3)+COUNTIF('Survey 2 Papers'!$D:$D,D3)&gt;0,"Shared","Unique")</f>
        <v>Unique</v>
      </c>
      <c r="W3" s="53">
        <f>' Survey 3 Outline'!A6</f>
        <v>2</v>
      </c>
      <c r="X3" s="53" t="str">
        <f>' Survey 3 Outline'!B6</f>
        <v>Background: Learning Modalities in Robotics</v>
      </c>
      <c r="Y3" cm="1">
        <f t="array" ref="Y3">SUMPRODUCT(--ISNUMBER(SEARCH(";§"&amp;W3&amp;";",";"&amp;SUBSTITUTE($S$2:$S$300," ","")&amp;";")))</f>
        <v>10</v>
      </c>
    </row>
    <row r="4" spans="1:25" ht="43.5" x14ac:dyDescent="0.35">
      <c r="A4" s="16" t="s">
        <v>1049</v>
      </c>
      <c r="B4" t="s">
        <v>1066</v>
      </c>
      <c r="C4">
        <v>2022</v>
      </c>
      <c r="D4" t="s">
        <v>1067</v>
      </c>
      <c r="E4" t="s">
        <v>1068</v>
      </c>
      <c r="F4" s="4" t="s">
        <v>1069</v>
      </c>
      <c r="G4" t="s">
        <v>183</v>
      </c>
      <c r="H4" s="17" t="s">
        <v>1070</v>
      </c>
      <c r="I4" t="s">
        <v>226</v>
      </c>
      <c r="J4" t="s">
        <v>1055</v>
      </c>
      <c r="K4" t="s">
        <v>1056</v>
      </c>
      <c r="L4" t="s">
        <v>238</v>
      </c>
      <c r="M4" t="s">
        <v>275</v>
      </c>
      <c r="N4" t="s">
        <v>235</v>
      </c>
      <c r="O4" s="4" t="s">
        <v>1071</v>
      </c>
      <c r="P4" t="s">
        <v>574</v>
      </c>
      <c r="Q4" t="s">
        <v>569</v>
      </c>
      <c r="R4" s="4" t="s">
        <v>1072</v>
      </c>
      <c r="S4" s="4" t="str">
        <f t="shared" si="0"/>
        <v>§3</v>
      </c>
      <c r="T4" s="4"/>
      <c r="U4" s="4" t="str">
        <f>IF(COUNTIF('Survey 1 Papers'!$D:$D,D4)+COUNTIF('Survey 2 Papers'!$D:$D,D4)&gt;0,"Shared","Unique")</f>
        <v>Unique</v>
      </c>
      <c r="W4" s="53">
        <f>' Survey 3 Outline'!A7</f>
        <v>3</v>
      </c>
      <c r="X4" s="53" t="str">
        <f>' Survey 3 Outline'!B7</f>
        <v>LLMs as Planners &amp; Orchestrators for Embodied Agents</v>
      </c>
      <c r="Y4" cm="1">
        <f t="array" ref="Y4">SUMPRODUCT(--ISNUMBER(SEARCH(";§"&amp;W4&amp;";",";"&amp;SUBSTITUTE($S$2:$S$300," ","")&amp;";")))</f>
        <v>15</v>
      </c>
    </row>
    <row r="5" spans="1:25" ht="43.5" x14ac:dyDescent="0.35">
      <c r="A5" s="16" t="s">
        <v>1049</v>
      </c>
      <c r="B5" t="s">
        <v>1073</v>
      </c>
      <c r="C5">
        <v>2023</v>
      </c>
      <c r="D5" t="s">
        <v>1074</v>
      </c>
      <c r="E5" t="s">
        <v>1075</v>
      </c>
      <c r="F5" s="4" t="s">
        <v>1076</v>
      </c>
      <c r="G5" t="s">
        <v>183</v>
      </c>
      <c r="H5" s="17" t="s">
        <v>1077</v>
      </c>
      <c r="I5" t="s">
        <v>226</v>
      </c>
      <c r="J5" t="s">
        <v>1055</v>
      </c>
      <c r="K5" t="s">
        <v>1056</v>
      </c>
      <c r="L5" t="s">
        <v>238</v>
      </c>
      <c r="M5" t="s">
        <v>275</v>
      </c>
      <c r="N5" t="s">
        <v>235</v>
      </c>
      <c r="O5" s="4" t="s">
        <v>1078</v>
      </c>
      <c r="P5" t="s">
        <v>574</v>
      </c>
      <c r="Q5" t="s">
        <v>569</v>
      </c>
      <c r="R5" s="4" t="s">
        <v>1079</v>
      </c>
      <c r="S5" s="4" t="str">
        <f t="shared" si="0"/>
        <v>§3</v>
      </c>
      <c r="T5" s="4"/>
      <c r="U5" s="4" t="str">
        <f>IF(COUNTIF('Survey 1 Papers'!$D:$D,D5)+COUNTIF('Survey 2 Papers'!$D:$D,D5)&gt;0,"Shared","Unique")</f>
        <v>Unique</v>
      </c>
      <c r="W5" s="53">
        <f>' Survey 3 Outline'!A8</f>
        <v>4</v>
      </c>
      <c r="X5" s="53" t="str">
        <f>' Survey 3 Outline'!B8</f>
        <v>VLA &amp; Robot Foundation Models</v>
      </c>
      <c r="Y5" cm="1">
        <f t="array" ref="Y5">SUMPRODUCT(--ISNUMBER(SEARCH(";§"&amp;W5&amp;";",";"&amp;SUBSTITUTE($S$2:$S$300," ","")&amp;";")))</f>
        <v>12</v>
      </c>
    </row>
    <row r="6" spans="1:25" ht="29" x14ac:dyDescent="0.35">
      <c r="A6" s="16" t="s">
        <v>1049</v>
      </c>
      <c r="B6" t="s">
        <v>1080</v>
      </c>
      <c r="C6">
        <v>2022</v>
      </c>
      <c r="D6" t="s">
        <v>1081</v>
      </c>
      <c r="E6" t="s">
        <v>1082</v>
      </c>
      <c r="F6" s="4" t="s">
        <v>1083</v>
      </c>
      <c r="G6" t="s">
        <v>183</v>
      </c>
      <c r="H6" s="17" t="s">
        <v>1084</v>
      </c>
      <c r="I6" t="s">
        <v>225</v>
      </c>
      <c r="J6" t="s">
        <v>1055</v>
      </c>
      <c r="K6" t="s">
        <v>1056</v>
      </c>
      <c r="L6" t="s">
        <v>1057</v>
      </c>
      <c r="M6" t="s">
        <v>285</v>
      </c>
      <c r="N6" t="s">
        <v>235</v>
      </c>
      <c r="O6" s="4" t="s">
        <v>1085</v>
      </c>
      <c r="P6" t="s">
        <v>574</v>
      </c>
      <c r="Q6" t="s">
        <v>569</v>
      </c>
      <c r="R6" s="4" t="s">
        <v>1086</v>
      </c>
      <c r="S6" s="4" t="str">
        <f t="shared" si="0"/>
        <v>§3; §14</v>
      </c>
      <c r="T6" s="4"/>
      <c r="U6" s="4" t="str">
        <f>IF(COUNTIF('Survey 1 Papers'!$D:$D,D6)+COUNTIF('Survey 2 Papers'!$D:$D,D6)&gt;0,"Shared","Unique")</f>
        <v>Unique</v>
      </c>
      <c r="W6" s="53">
        <f>' Survey 3 Outline'!A9</f>
        <v>5</v>
      </c>
      <c r="X6" s="53" t="str">
        <f>' Survey 3 Outline'!B9</f>
        <v>Modality 1 — Vision Perception with Epistemic Uncertainty</v>
      </c>
      <c r="Y6" cm="1">
        <f t="array" ref="Y6">SUMPRODUCT(--ISNUMBER(SEARCH(";§"&amp;W6&amp;";",";"&amp;SUBSTITUTE($S$2:$S$300," ","")&amp;";")))</f>
        <v>8</v>
      </c>
    </row>
    <row r="7" spans="1:25" ht="43.5" x14ac:dyDescent="0.35">
      <c r="A7" s="16" t="s">
        <v>1049</v>
      </c>
      <c r="B7" t="s">
        <v>1087</v>
      </c>
      <c r="C7">
        <v>2023</v>
      </c>
      <c r="D7" t="s">
        <v>1088</v>
      </c>
      <c r="E7" t="s">
        <v>1089</v>
      </c>
      <c r="F7" s="4" t="s">
        <v>1090</v>
      </c>
      <c r="G7" t="s">
        <v>183</v>
      </c>
      <c r="H7" s="17" t="s">
        <v>1091</v>
      </c>
      <c r="I7" t="s">
        <v>225</v>
      </c>
      <c r="J7" t="s">
        <v>1055</v>
      </c>
      <c r="K7" t="s">
        <v>1056</v>
      </c>
      <c r="L7" t="s">
        <v>1057</v>
      </c>
      <c r="M7" t="s">
        <v>285</v>
      </c>
      <c r="N7" t="s">
        <v>235</v>
      </c>
      <c r="O7" s="4" t="s">
        <v>1092</v>
      </c>
      <c r="P7" t="s">
        <v>574</v>
      </c>
      <c r="Q7" t="s">
        <v>569</v>
      </c>
      <c r="R7" s="4" t="s">
        <v>1093</v>
      </c>
      <c r="S7" s="4" t="str">
        <f t="shared" si="0"/>
        <v>§3; §14</v>
      </c>
      <c r="T7" s="4"/>
      <c r="U7" s="4" t="str">
        <f>IF(COUNTIF('Survey 1 Papers'!$D:$D,D7)+COUNTIF('Survey 2 Papers'!$D:$D,D7)&gt;0,"Shared","Unique")</f>
        <v>Unique</v>
      </c>
      <c r="W7" s="53">
        <f>' Survey 3 Outline'!A10</f>
        <v>6</v>
      </c>
      <c r="X7" s="53" t="str">
        <f>' Survey 3 Outline'!B10</f>
        <v>Modality 2 — Reinforcement Learning with Policy Variance</v>
      </c>
      <c r="Y7" cm="1">
        <f t="array" ref="Y7">SUMPRODUCT(--ISNUMBER(SEARCH(";§"&amp;W7&amp;";",";"&amp;SUBSTITUTE($S$2:$S$300," ","")&amp;";")))</f>
        <v>10</v>
      </c>
    </row>
    <row r="8" spans="1:25" ht="29" x14ac:dyDescent="0.35">
      <c r="A8" s="16" t="s">
        <v>1049</v>
      </c>
      <c r="B8" t="s">
        <v>1094</v>
      </c>
      <c r="C8">
        <v>2023</v>
      </c>
      <c r="D8" t="s">
        <v>1095</v>
      </c>
      <c r="E8" t="s">
        <v>1089</v>
      </c>
      <c r="F8" s="4" t="s">
        <v>1096</v>
      </c>
      <c r="G8" t="s">
        <v>183</v>
      </c>
      <c r="H8" s="17" t="s">
        <v>1097</v>
      </c>
      <c r="I8" t="s">
        <v>227</v>
      </c>
      <c r="J8" t="s">
        <v>1055</v>
      </c>
      <c r="K8" t="s">
        <v>1056</v>
      </c>
      <c r="L8" t="s">
        <v>238</v>
      </c>
      <c r="M8" t="s">
        <v>275</v>
      </c>
      <c r="N8" t="s">
        <v>235</v>
      </c>
      <c r="O8" s="4" t="s">
        <v>1098</v>
      </c>
      <c r="P8" t="s">
        <v>574</v>
      </c>
      <c r="Q8" t="s">
        <v>569</v>
      </c>
      <c r="R8" s="4" t="s">
        <v>1099</v>
      </c>
      <c r="S8" s="4" t="str">
        <f t="shared" si="0"/>
        <v>§3</v>
      </c>
      <c r="T8" s="4"/>
      <c r="U8" s="4" t="str">
        <f>IF(COUNTIF('Survey 1 Papers'!$D:$D,D8)+COUNTIF('Survey 2 Papers'!$D:$D,D8)&gt;0,"Shared","Unique")</f>
        <v>Unique</v>
      </c>
      <c r="W8" s="53">
        <f>' Survey 3 Outline'!A11</f>
        <v>7</v>
      </c>
      <c r="X8" s="53" t="str">
        <f>' Survey 3 Outline'!B11</f>
        <v>Modality 3 — Imitation with Behavioural Fidelity</v>
      </c>
      <c r="Y8" cm="1">
        <f t="array" ref="Y8">SUMPRODUCT(--ISNUMBER(SEARCH(";§"&amp;W8&amp;";",";"&amp;SUBSTITUTE($S$2:$S$300," ","")&amp;";")))</f>
        <v>9</v>
      </c>
    </row>
    <row r="9" spans="1:25" ht="29" x14ac:dyDescent="0.35">
      <c r="A9" s="16" t="s">
        <v>1049</v>
      </c>
      <c r="B9" t="s">
        <v>1100</v>
      </c>
      <c r="C9">
        <v>2023</v>
      </c>
      <c r="D9" t="s">
        <v>1101</v>
      </c>
      <c r="E9" t="s">
        <v>1102</v>
      </c>
      <c r="F9" s="4" t="s">
        <v>1103</v>
      </c>
      <c r="G9" t="s">
        <v>183</v>
      </c>
      <c r="H9" s="17" t="s">
        <v>1104</v>
      </c>
      <c r="I9" t="s">
        <v>227</v>
      </c>
      <c r="J9" t="s">
        <v>1055</v>
      </c>
      <c r="K9" t="s">
        <v>1056</v>
      </c>
      <c r="L9" t="s">
        <v>238</v>
      </c>
      <c r="M9" t="s">
        <v>275</v>
      </c>
      <c r="N9" t="s">
        <v>235</v>
      </c>
      <c r="O9" s="4" t="s">
        <v>1105</v>
      </c>
      <c r="P9" t="s">
        <v>574</v>
      </c>
      <c r="Q9" t="s">
        <v>569</v>
      </c>
      <c r="R9" s="4" t="s">
        <v>1106</v>
      </c>
      <c r="S9" s="4" t="str">
        <f t="shared" si="0"/>
        <v>§3</v>
      </c>
      <c r="T9" s="4"/>
      <c r="U9" s="4" t="str">
        <f>IF(COUNTIF('Survey 1 Papers'!$D:$D,D9)+COUNTIF('Survey 2 Papers'!$D:$D,D9)&gt;0,"Shared","Unique")</f>
        <v>Unique</v>
      </c>
      <c r="W9" s="53">
        <f>' Survey 3 Outline'!A12</f>
        <v>8</v>
      </c>
      <c r="X9" s="53" t="str">
        <f>' Survey 3 Outline'!B12</f>
        <v>Modality 4 — Fault Adaptation &amp; Recovery</v>
      </c>
      <c r="Y9" cm="1">
        <f t="array" ref="Y9">SUMPRODUCT(--ISNUMBER(SEARCH(";§"&amp;W9&amp;";",";"&amp;SUBSTITUTE($S$2:$S$300," ","")&amp;";")))</f>
        <v>6</v>
      </c>
    </row>
    <row r="10" spans="1:25" ht="29" x14ac:dyDescent="0.35">
      <c r="A10" s="16" t="s">
        <v>1049</v>
      </c>
      <c r="B10" t="s">
        <v>1107</v>
      </c>
      <c r="C10">
        <v>2022</v>
      </c>
      <c r="D10" t="s">
        <v>1108</v>
      </c>
      <c r="E10" t="s">
        <v>1068</v>
      </c>
      <c r="F10" s="4" t="s">
        <v>1109</v>
      </c>
      <c r="G10" t="s">
        <v>183</v>
      </c>
      <c r="H10" s="17" t="s">
        <v>1110</v>
      </c>
      <c r="I10" t="s">
        <v>227</v>
      </c>
      <c r="J10" t="s">
        <v>1055</v>
      </c>
      <c r="K10" t="s">
        <v>1056</v>
      </c>
      <c r="L10" t="s">
        <v>238</v>
      </c>
      <c r="M10" t="s">
        <v>272</v>
      </c>
      <c r="N10" t="s">
        <v>235</v>
      </c>
      <c r="O10" s="4" t="s">
        <v>1111</v>
      </c>
      <c r="P10" t="s">
        <v>574</v>
      </c>
      <c r="Q10" t="s">
        <v>569</v>
      </c>
      <c r="R10" s="4" t="s">
        <v>1112</v>
      </c>
      <c r="S10" s="4" t="str">
        <f t="shared" si="0"/>
        <v>§3</v>
      </c>
      <c r="T10" s="4"/>
      <c r="U10" s="4" t="str">
        <f>IF(COUNTIF('Survey 1 Papers'!$D:$D,D10)+COUNTIF('Survey 2 Papers'!$D:$D,D10)&gt;0,"Shared","Unique")</f>
        <v>Unique</v>
      </c>
      <c r="W10" s="53">
        <f>' Survey 3 Outline'!A13</f>
        <v>9</v>
      </c>
      <c r="X10" s="53" t="str">
        <f>' Survey 3 Outline'!B13</f>
        <v>Meta-Learning &amp; Learning-to-Learn (the orchestration backbone)</v>
      </c>
      <c r="Y10" cm="1">
        <f t="array" ref="Y10">SUMPRODUCT(--ISNUMBER(SEARCH(";§"&amp;W10&amp;";",";"&amp;SUBSTITUTE($S$2:$S$300," ","")&amp;";")))</f>
        <v>9</v>
      </c>
    </row>
    <row r="11" spans="1:25" ht="29" x14ac:dyDescent="0.35">
      <c r="A11" s="16" t="s">
        <v>1049</v>
      </c>
      <c r="B11" t="s">
        <v>1113</v>
      </c>
      <c r="C11">
        <v>2023</v>
      </c>
      <c r="D11" t="s">
        <v>1114</v>
      </c>
      <c r="E11" t="s">
        <v>1115</v>
      </c>
      <c r="F11" s="4" t="s">
        <v>1116</v>
      </c>
      <c r="G11" t="s">
        <v>183</v>
      </c>
      <c r="H11" s="17" t="s">
        <v>1117</v>
      </c>
      <c r="I11" t="s">
        <v>227</v>
      </c>
      <c r="J11" t="s">
        <v>1055</v>
      </c>
      <c r="K11" t="s">
        <v>1056</v>
      </c>
      <c r="L11" t="s">
        <v>238</v>
      </c>
      <c r="M11" t="s">
        <v>275</v>
      </c>
      <c r="N11" t="s">
        <v>235</v>
      </c>
      <c r="O11" s="4" t="s">
        <v>1118</v>
      </c>
      <c r="P11" t="s">
        <v>574</v>
      </c>
      <c r="Q11" t="s">
        <v>569</v>
      </c>
      <c r="R11" s="4" t="s">
        <v>1119</v>
      </c>
      <c r="S11" s="4" t="str">
        <f t="shared" si="0"/>
        <v>§3</v>
      </c>
      <c r="T11" s="4"/>
      <c r="U11" s="4" t="str">
        <f>IF(COUNTIF('Survey 1 Papers'!$D:$D,D11)+COUNTIF('Survey 2 Papers'!$D:$D,D11)&gt;0,"Shared","Unique")</f>
        <v>Unique</v>
      </c>
      <c r="W11" s="53">
        <f>' Survey 3 Outline'!A14</f>
        <v>10</v>
      </c>
      <c r="X11" s="53" t="str">
        <f>' Survey 3 Outline'!B14</f>
        <v>Uncertainty Fusion &amp; Federated Confidence Signals</v>
      </c>
      <c r="Y11" cm="1">
        <f t="array" ref="Y11">SUMPRODUCT(--ISNUMBER(SEARCH(";§"&amp;W11&amp;";",";"&amp;SUBSTITUTE($S$2:$S$300," ","")&amp;";")))</f>
        <v>6</v>
      </c>
    </row>
    <row r="12" spans="1:25" ht="29" x14ac:dyDescent="0.35">
      <c r="A12" s="16" t="s">
        <v>1049</v>
      </c>
      <c r="B12" t="s">
        <v>1120</v>
      </c>
      <c r="C12">
        <v>2023</v>
      </c>
      <c r="D12" t="s">
        <v>1121</v>
      </c>
      <c r="E12" t="s">
        <v>1115</v>
      </c>
      <c r="F12" s="4" t="s">
        <v>1122</v>
      </c>
      <c r="G12" t="s">
        <v>183</v>
      </c>
      <c r="H12" s="17" t="s">
        <v>1123</v>
      </c>
      <c r="I12" t="s">
        <v>227</v>
      </c>
      <c r="J12" t="s">
        <v>1055</v>
      </c>
      <c r="K12" t="s">
        <v>1056</v>
      </c>
      <c r="L12" t="s">
        <v>238</v>
      </c>
      <c r="M12" t="s">
        <v>275</v>
      </c>
      <c r="N12" t="s">
        <v>235</v>
      </c>
      <c r="O12" s="4" t="s">
        <v>1124</v>
      </c>
      <c r="P12" t="s">
        <v>574</v>
      </c>
      <c r="Q12" t="s">
        <v>569</v>
      </c>
      <c r="R12" s="4" t="s">
        <v>1125</v>
      </c>
      <c r="S12" s="4" t="str">
        <f t="shared" si="0"/>
        <v>§3</v>
      </c>
      <c r="T12" s="4"/>
      <c r="U12" s="4" t="str">
        <f>IF(COUNTIF('Survey 1 Papers'!$D:$D,D12)+COUNTIF('Survey 2 Papers'!$D:$D,D12)&gt;0,"Shared","Unique")</f>
        <v>Unique</v>
      </c>
      <c r="W12" s="53">
        <f>' Survey 3 Outline'!A15</f>
        <v>11</v>
      </c>
      <c r="X12" s="53" t="str">
        <f>' Survey 3 Outline'!B15</f>
        <v>On-Device Adaptation: LoRA, Replay &amp; Continual Learning</v>
      </c>
      <c r="Y12" cm="1">
        <f t="array" ref="Y12">SUMPRODUCT(--ISNUMBER(SEARCH(";§"&amp;W12&amp;";",";"&amp;SUBSTITUTE($S$2:$S$300," ","")&amp;";")))</f>
        <v>15</v>
      </c>
    </row>
    <row r="13" spans="1:25" ht="43.5" x14ac:dyDescent="0.35">
      <c r="A13" s="16" t="s">
        <v>1049</v>
      </c>
      <c r="B13" t="s">
        <v>1555</v>
      </c>
      <c r="C13">
        <v>2022</v>
      </c>
      <c r="D13" t="s">
        <v>1556</v>
      </c>
      <c r="E13" t="s">
        <v>1557</v>
      </c>
      <c r="F13" s="4" t="s">
        <v>1558</v>
      </c>
      <c r="G13" t="s">
        <v>183</v>
      </c>
      <c r="H13" s="17" t="s">
        <v>1559</v>
      </c>
      <c r="I13" t="s">
        <v>225</v>
      </c>
      <c r="J13" t="s">
        <v>1055</v>
      </c>
      <c r="K13" t="s">
        <v>1056</v>
      </c>
      <c r="L13" t="s">
        <v>1057</v>
      </c>
      <c r="M13" t="s">
        <v>285</v>
      </c>
      <c r="N13" t="s">
        <v>235</v>
      </c>
      <c r="O13" s="4" t="s">
        <v>1560</v>
      </c>
      <c r="P13" t="s">
        <v>574</v>
      </c>
      <c r="Q13" t="s">
        <v>569</v>
      </c>
      <c r="R13" s="4" t="s">
        <v>1561</v>
      </c>
      <c r="S13" s="4" t="str">
        <f t="shared" si="0"/>
        <v>§3; §14</v>
      </c>
      <c r="T13" s="4"/>
      <c r="U13" s="4" t="str">
        <f>IF(COUNTIF('Survey 1 Papers'!$D:$D,D13)+COUNTIF('Survey 2 Papers'!$D:$D,D13)&gt;0,"Shared","Unique")</f>
        <v>Unique</v>
      </c>
      <c r="W13" s="53">
        <f>' Survey 3 Outline'!A16</f>
        <v>12</v>
      </c>
      <c r="X13" s="53" t="str">
        <f>' Survey 3 Outline'!B16</f>
        <v>Adaptive Computation, MoE &amp; Modality Routing (DEEP — core novelty)</v>
      </c>
      <c r="Y13" cm="1">
        <f t="array" ref="Y13">SUMPRODUCT(--ISNUMBER(SEARCH(";§"&amp;W13&amp;";",";"&amp;SUBSTITUTE($S$2:$S$300," ","")&amp;";")))</f>
        <v>12</v>
      </c>
    </row>
    <row r="14" spans="1:25" ht="29" x14ac:dyDescent="0.35">
      <c r="A14" s="16" t="s">
        <v>1049</v>
      </c>
      <c r="B14" t="s">
        <v>1562</v>
      </c>
      <c r="C14">
        <v>2022</v>
      </c>
      <c r="D14" t="s">
        <v>1563</v>
      </c>
      <c r="E14" t="s">
        <v>1052</v>
      </c>
      <c r="F14" s="4" t="s">
        <v>1564</v>
      </c>
      <c r="G14" t="s">
        <v>183</v>
      </c>
      <c r="H14" s="17" t="s">
        <v>1565</v>
      </c>
      <c r="I14" t="s">
        <v>227</v>
      </c>
      <c r="J14" t="s">
        <v>1055</v>
      </c>
      <c r="K14" t="s">
        <v>1056</v>
      </c>
      <c r="L14" t="s">
        <v>238</v>
      </c>
      <c r="M14" t="s">
        <v>275</v>
      </c>
      <c r="N14" t="s">
        <v>235</v>
      </c>
      <c r="O14" s="4" t="s">
        <v>1566</v>
      </c>
      <c r="P14" t="s">
        <v>574</v>
      </c>
      <c r="Q14" t="s">
        <v>569</v>
      </c>
      <c r="R14" s="4" t="s">
        <v>1567</v>
      </c>
      <c r="S14" s="4" t="str">
        <f t="shared" si="0"/>
        <v>§3</v>
      </c>
      <c r="T14" s="4"/>
      <c r="U14" s="4" t="str">
        <f>IF(COUNTIF('Survey 1 Papers'!$D:$D,D14)+COUNTIF('Survey 2 Papers'!$D:$D,D14)&gt;0,"Shared","Unique")</f>
        <v>Unique</v>
      </c>
      <c r="W14" s="53">
        <f>' Survey 3 Outline'!A17</f>
        <v>13</v>
      </c>
      <c r="X14" s="53" t="str">
        <f>' Survey 3 Outline'!B17</f>
        <v>Hardware, Benchmarks &amp; Mobile Manipulation</v>
      </c>
      <c r="Y14" cm="1">
        <f t="array" ref="Y14">SUMPRODUCT(--ISNUMBER(SEARCH(";§"&amp;W14&amp;";",";"&amp;SUBSTITUTE($S$2:$S$300," ","")&amp;";")))</f>
        <v>6</v>
      </c>
    </row>
    <row r="15" spans="1:25" ht="29" x14ac:dyDescent="0.35">
      <c r="A15" s="16" t="s">
        <v>1049</v>
      </c>
      <c r="B15" t="s">
        <v>1568</v>
      </c>
      <c r="C15">
        <v>2023</v>
      </c>
      <c r="D15" t="s">
        <v>1569</v>
      </c>
      <c r="E15" t="s">
        <v>1570</v>
      </c>
      <c r="F15" s="4" t="s">
        <v>1571</v>
      </c>
      <c r="G15" t="s">
        <v>183</v>
      </c>
      <c r="H15" s="17" t="s">
        <v>1572</v>
      </c>
      <c r="I15" t="s">
        <v>227</v>
      </c>
      <c r="J15" t="s">
        <v>1055</v>
      </c>
      <c r="K15" t="s">
        <v>1056</v>
      </c>
      <c r="L15" t="s">
        <v>238</v>
      </c>
      <c r="M15" t="s">
        <v>275</v>
      </c>
      <c r="N15" t="s">
        <v>235</v>
      </c>
      <c r="O15" s="4" t="s">
        <v>1573</v>
      </c>
      <c r="P15" t="s">
        <v>574</v>
      </c>
      <c r="Q15" t="s">
        <v>569</v>
      </c>
      <c r="R15" s="4" t="s">
        <v>1574</v>
      </c>
      <c r="S15" s="4" t="str">
        <f t="shared" si="0"/>
        <v>§3</v>
      </c>
      <c r="T15" s="4"/>
      <c r="U15" s="4" t="str">
        <f>IF(COUNTIF('Survey 1 Papers'!$D:$D,D15)+COUNTIF('Survey 2 Papers'!$D:$D,D15)&gt;0,"Shared","Unique")</f>
        <v>Unique</v>
      </c>
      <c r="W15" s="53">
        <f>' Survey 3 Outline'!A18</f>
        <v>14</v>
      </c>
      <c r="X15" s="53" t="str">
        <f>' Survey 3 Outline'!B18</f>
        <v>Open Challenges &amp; Future Directions</v>
      </c>
      <c r="Y15" cm="1">
        <f t="array" ref="Y15">SUMPRODUCT(--ISNUMBER(SEARCH(";§"&amp;W15&amp;";",";"&amp;SUBSTITUTE($S$2:$S$300," ","")&amp;";")))</f>
        <v>42</v>
      </c>
    </row>
    <row r="16" spans="1:25" ht="29" x14ac:dyDescent="0.35">
      <c r="A16" s="16" t="s">
        <v>1049</v>
      </c>
      <c r="B16" t="s">
        <v>1575</v>
      </c>
      <c r="C16">
        <v>2023</v>
      </c>
      <c r="D16" t="s">
        <v>1576</v>
      </c>
      <c r="E16" t="s">
        <v>1089</v>
      </c>
      <c r="F16" s="4" t="s">
        <v>1577</v>
      </c>
      <c r="G16" t="s">
        <v>183</v>
      </c>
      <c r="H16" s="17" t="s">
        <v>1578</v>
      </c>
      <c r="I16" t="s">
        <v>227</v>
      </c>
      <c r="J16" t="s">
        <v>1055</v>
      </c>
      <c r="K16" t="s">
        <v>1056</v>
      </c>
      <c r="L16" t="s">
        <v>238</v>
      </c>
      <c r="M16" t="s">
        <v>275</v>
      </c>
      <c r="N16" t="s">
        <v>235</v>
      </c>
      <c r="O16" s="4" t="s">
        <v>1579</v>
      </c>
      <c r="P16" t="s">
        <v>574</v>
      </c>
      <c r="Q16" t="s">
        <v>569</v>
      </c>
      <c r="R16" s="4" t="s">
        <v>1580</v>
      </c>
      <c r="S16" s="4" t="str">
        <f t="shared" si="0"/>
        <v>§3</v>
      </c>
      <c r="T16" s="4"/>
      <c r="U16" s="4" t="str">
        <f>IF(COUNTIF('Survey 1 Papers'!$D:$D,D16)+COUNTIF('Survey 2 Papers'!$D:$D,D16)&gt;0,"Shared","Unique")</f>
        <v>Unique</v>
      </c>
      <c r="W16" s="53">
        <f>' Survey 3 Outline'!A19</f>
        <v>15</v>
      </c>
      <c r="X16" s="53" t="str">
        <f>' Survey 3 Outline'!B19</f>
        <v>Conclusion</v>
      </c>
      <c r="Y16" cm="1">
        <f t="array" ref="Y16">SUMPRODUCT(--ISNUMBER(SEARCH(";§"&amp;W16&amp;";",";"&amp;SUBSTITUTE($S$2:$S$300," ","")&amp;";")))</f>
        <v>0</v>
      </c>
    </row>
    <row r="17" spans="1:21" ht="29" x14ac:dyDescent="0.35">
      <c r="A17" s="16" t="s">
        <v>1126</v>
      </c>
      <c r="B17" t="s">
        <v>1127</v>
      </c>
      <c r="C17">
        <v>2022</v>
      </c>
      <c r="D17" t="s">
        <v>1128</v>
      </c>
      <c r="E17" t="s">
        <v>1129</v>
      </c>
      <c r="F17" s="4" t="s">
        <v>1130</v>
      </c>
      <c r="G17" t="s">
        <v>183</v>
      </c>
      <c r="H17" s="17" t="s">
        <v>1131</v>
      </c>
      <c r="I17" t="s">
        <v>226</v>
      </c>
      <c r="J17" t="s">
        <v>273</v>
      </c>
      <c r="K17" t="s">
        <v>1132</v>
      </c>
      <c r="L17" t="s">
        <v>238</v>
      </c>
      <c r="M17" t="s">
        <v>275</v>
      </c>
      <c r="N17" t="s">
        <v>235</v>
      </c>
      <c r="O17" s="4" t="s">
        <v>1133</v>
      </c>
      <c r="P17" t="s">
        <v>568</v>
      </c>
      <c r="Q17" t="s">
        <v>569</v>
      </c>
      <c r="R17" s="4" t="s">
        <v>1134</v>
      </c>
      <c r="S17" s="4" t="str">
        <f t="shared" si="0"/>
        <v>§4</v>
      </c>
      <c r="T17" s="4"/>
      <c r="U17" s="4" t="str">
        <f>IF(COUNTIF('Survey 1 Papers'!$D:$D,D17)+COUNTIF('Survey 2 Papers'!$D:$D,D17)&gt;0,"Shared","Unique")</f>
        <v>Unique</v>
      </c>
    </row>
    <row r="18" spans="1:21" ht="29" x14ac:dyDescent="0.35">
      <c r="A18" s="16" t="s">
        <v>1126</v>
      </c>
      <c r="B18" t="s">
        <v>1127</v>
      </c>
      <c r="C18">
        <v>2023</v>
      </c>
      <c r="D18" t="s">
        <v>1135</v>
      </c>
      <c r="E18" t="s">
        <v>1115</v>
      </c>
      <c r="F18" s="4" t="s">
        <v>1136</v>
      </c>
      <c r="G18" t="s">
        <v>183</v>
      </c>
      <c r="H18" s="17" t="s">
        <v>1137</v>
      </c>
      <c r="I18" t="s">
        <v>226</v>
      </c>
      <c r="J18" t="s">
        <v>273</v>
      </c>
      <c r="K18" t="s">
        <v>1132</v>
      </c>
      <c r="L18" t="s">
        <v>238</v>
      </c>
      <c r="M18" t="s">
        <v>275</v>
      </c>
      <c r="N18" t="s">
        <v>235</v>
      </c>
      <c r="O18" s="4" t="s">
        <v>1138</v>
      </c>
      <c r="P18" t="s">
        <v>568</v>
      </c>
      <c r="Q18" t="s">
        <v>569</v>
      </c>
      <c r="R18" s="4" t="s">
        <v>1139</v>
      </c>
      <c r="S18" s="4" t="str">
        <f t="shared" si="0"/>
        <v>§4</v>
      </c>
      <c r="T18" s="4"/>
      <c r="U18" s="4" t="str">
        <f>IF(COUNTIF('Survey 1 Papers'!$D:$D,D18)+COUNTIF('Survey 2 Papers'!$D:$D,D18)&gt;0,"Shared","Unique")</f>
        <v>Unique</v>
      </c>
    </row>
    <row r="19" spans="1:21" ht="29" x14ac:dyDescent="0.35">
      <c r="A19" s="16" t="s">
        <v>1126</v>
      </c>
      <c r="B19" t="s">
        <v>1140</v>
      </c>
      <c r="C19">
        <v>2024</v>
      </c>
      <c r="D19" t="s">
        <v>1141</v>
      </c>
      <c r="E19" t="s">
        <v>1142</v>
      </c>
      <c r="F19" s="4" t="s">
        <v>1143</v>
      </c>
      <c r="G19" t="s">
        <v>183</v>
      </c>
      <c r="H19" s="17" t="s">
        <v>1144</v>
      </c>
      <c r="I19" t="s">
        <v>225</v>
      </c>
      <c r="J19" t="s">
        <v>1145</v>
      </c>
      <c r="K19" t="s">
        <v>1132</v>
      </c>
      <c r="L19" t="s">
        <v>1057</v>
      </c>
      <c r="M19" t="s">
        <v>285</v>
      </c>
      <c r="N19" t="s">
        <v>235</v>
      </c>
      <c r="O19" s="4" t="s">
        <v>1146</v>
      </c>
      <c r="P19" t="s">
        <v>568</v>
      </c>
      <c r="Q19" t="s">
        <v>569</v>
      </c>
      <c r="R19" s="4" t="s">
        <v>1147</v>
      </c>
      <c r="S19" s="4" t="str">
        <f t="shared" si="0"/>
        <v>§4; §14</v>
      </c>
      <c r="T19" s="4"/>
      <c r="U19" s="4" t="str">
        <f>IF(COUNTIF('Survey 1 Papers'!$D:$D,D19)+COUNTIF('Survey 2 Papers'!$D:$D,D19)&gt;0,"Shared","Unique")</f>
        <v>Unique</v>
      </c>
    </row>
    <row r="20" spans="1:21" ht="29" x14ac:dyDescent="0.35">
      <c r="A20" s="16" t="s">
        <v>1126</v>
      </c>
      <c r="B20" t="s">
        <v>1148</v>
      </c>
      <c r="C20">
        <v>2024</v>
      </c>
      <c r="D20" t="s">
        <v>1149</v>
      </c>
      <c r="E20" t="s">
        <v>1150</v>
      </c>
      <c r="F20" s="4" t="s">
        <v>1151</v>
      </c>
      <c r="G20" t="s">
        <v>183</v>
      </c>
      <c r="H20" s="17" t="s">
        <v>1152</v>
      </c>
      <c r="I20" t="s">
        <v>226</v>
      </c>
      <c r="J20" t="s">
        <v>273</v>
      </c>
      <c r="K20" t="s">
        <v>1132</v>
      </c>
      <c r="L20" t="s">
        <v>238</v>
      </c>
      <c r="M20" t="s">
        <v>275</v>
      </c>
      <c r="N20" t="s">
        <v>235</v>
      </c>
      <c r="O20" s="4" t="s">
        <v>1153</v>
      </c>
      <c r="P20" t="s">
        <v>568</v>
      </c>
      <c r="Q20" t="s">
        <v>569</v>
      </c>
      <c r="R20" s="4" t="s">
        <v>1154</v>
      </c>
      <c r="S20" s="4" t="str">
        <f t="shared" si="0"/>
        <v>§4</v>
      </c>
      <c r="T20" s="4"/>
      <c r="U20" s="4" t="str">
        <f>IF(COUNTIF('Survey 1 Papers'!$D:$D,D20)+COUNTIF('Survey 2 Papers'!$D:$D,D20)&gt;0,"Shared","Unique")</f>
        <v>Unique</v>
      </c>
    </row>
    <row r="21" spans="1:21" ht="29" x14ac:dyDescent="0.35">
      <c r="A21" s="16" t="s">
        <v>1126</v>
      </c>
      <c r="B21" t="s">
        <v>1155</v>
      </c>
      <c r="C21">
        <v>2022</v>
      </c>
      <c r="D21" t="s">
        <v>1156</v>
      </c>
      <c r="E21" t="s">
        <v>1157</v>
      </c>
      <c r="F21" s="4" t="s">
        <v>1158</v>
      </c>
      <c r="G21" t="s">
        <v>183</v>
      </c>
      <c r="H21" s="17" t="s">
        <v>1159</v>
      </c>
      <c r="I21" t="s">
        <v>226</v>
      </c>
      <c r="J21" t="s">
        <v>273</v>
      </c>
      <c r="K21" t="s">
        <v>1132</v>
      </c>
      <c r="L21" t="s">
        <v>238</v>
      </c>
      <c r="M21" t="s">
        <v>275</v>
      </c>
      <c r="N21" t="s">
        <v>235</v>
      </c>
      <c r="O21" s="4" t="s">
        <v>1160</v>
      </c>
      <c r="P21" t="s">
        <v>568</v>
      </c>
      <c r="Q21" t="s">
        <v>569</v>
      </c>
      <c r="R21" s="4" t="s">
        <v>1161</v>
      </c>
      <c r="S21" s="4" t="str">
        <f t="shared" si="0"/>
        <v>§4</v>
      </c>
      <c r="T21" s="4"/>
      <c r="U21" s="4" t="str">
        <f>IF(COUNTIF('Survey 1 Papers'!$D:$D,D21)+COUNTIF('Survey 2 Papers'!$D:$D,D21)&gt;0,"Shared","Unique")</f>
        <v>Unique</v>
      </c>
    </row>
    <row r="22" spans="1:21" ht="29" x14ac:dyDescent="0.35">
      <c r="A22" s="16" t="s">
        <v>1126</v>
      </c>
      <c r="B22" t="s">
        <v>1162</v>
      </c>
      <c r="C22">
        <v>2024</v>
      </c>
      <c r="D22" t="s">
        <v>1163</v>
      </c>
      <c r="E22" t="s">
        <v>1164</v>
      </c>
      <c r="F22" s="4" t="s">
        <v>1165</v>
      </c>
      <c r="G22" t="s">
        <v>183</v>
      </c>
      <c r="H22" s="17" t="s">
        <v>1166</v>
      </c>
      <c r="I22" t="s">
        <v>226</v>
      </c>
      <c r="J22" t="s">
        <v>273</v>
      </c>
      <c r="K22" t="s">
        <v>1132</v>
      </c>
      <c r="L22" t="s">
        <v>238</v>
      </c>
      <c r="M22" t="s">
        <v>275</v>
      </c>
      <c r="N22" t="s">
        <v>235</v>
      </c>
      <c r="O22" s="4" t="s">
        <v>1167</v>
      </c>
      <c r="P22" t="s">
        <v>568</v>
      </c>
      <c r="Q22" t="s">
        <v>569</v>
      </c>
      <c r="R22" s="4" t="s">
        <v>1168</v>
      </c>
      <c r="S22" s="4" t="str">
        <f t="shared" si="0"/>
        <v>§4</v>
      </c>
      <c r="T22" s="4"/>
      <c r="U22" s="4" t="str">
        <f>IF(COUNTIF('Survey 1 Papers'!$D:$D,D22)+COUNTIF('Survey 2 Papers'!$D:$D,D22)&gt;0,"Shared","Unique")</f>
        <v>Unique</v>
      </c>
    </row>
    <row r="23" spans="1:21" ht="29" x14ac:dyDescent="0.35">
      <c r="A23" s="16" t="s">
        <v>1126</v>
      </c>
      <c r="B23" t="s">
        <v>1169</v>
      </c>
      <c r="C23">
        <v>2023</v>
      </c>
      <c r="D23" t="s">
        <v>1170</v>
      </c>
      <c r="E23" t="s">
        <v>1171</v>
      </c>
      <c r="F23" s="4" t="s">
        <v>1172</v>
      </c>
      <c r="G23" t="s">
        <v>183</v>
      </c>
      <c r="H23" s="17" t="s">
        <v>1173</v>
      </c>
      <c r="I23" t="s">
        <v>226</v>
      </c>
      <c r="J23" t="s">
        <v>1145</v>
      </c>
      <c r="K23" t="s">
        <v>1132</v>
      </c>
      <c r="L23" t="s">
        <v>238</v>
      </c>
      <c r="M23" t="s">
        <v>275</v>
      </c>
      <c r="N23" t="s">
        <v>235</v>
      </c>
      <c r="O23" s="4" t="s">
        <v>1174</v>
      </c>
      <c r="P23" t="s">
        <v>568</v>
      </c>
      <c r="Q23" t="s">
        <v>569</v>
      </c>
      <c r="R23" s="4" t="s">
        <v>1175</v>
      </c>
      <c r="S23" s="4" t="str">
        <f t="shared" si="0"/>
        <v>§4</v>
      </c>
      <c r="T23" s="4"/>
      <c r="U23" s="4" t="str">
        <f>IF(COUNTIF('Survey 1 Papers'!$D:$D,D23)+COUNTIF('Survey 2 Papers'!$D:$D,D23)&gt;0,"Shared","Unique")</f>
        <v>Unique</v>
      </c>
    </row>
    <row r="24" spans="1:21" ht="29" x14ac:dyDescent="0.35">
      <c r="A24" s="16" t="s">
        <v>1126</v>
      </c>
      <c r="B24" t="s">
        <v>1176</v>
      </c>
      <c r="C24">
        <v>2021</v>
      </c>
      <c r="D24" t="s">
        <v>1177</v>
      </c>
      <c r="E24" t="s">
        <v>1178</v>
      </c>
      <c r="F24" s="4" t="s">
        <v>1179</v>
      </c>
      <c r="G24" t="s">
        <v>183</v>
      </c>
      <c r="H24" s="17" t="s">
        <v>1180</v>
      </c>
      <c r="I24" t="s">
        <v>227</v>
      </c>
      <c r="J24" t="s">
        <v>277</v>
      </c>
      <c r="K24" t="s">
        <v>1181</v>
      </c>
      <c r="L24" t="s">
        <v>238</v>
      </c>
      <c r="M24" t="s">
        <v>272</v>
      </c>
      <c r="N24" t="s">
        <v>235</v>
      </c>
      <c r="O24" s="4" t="s">
        <v>1182</v>
      </c>
      <c r="P24" t="s">
        <v>568</v>
      </c>
      <c r="Q24" t="s">
        <v>569</v>
      </c>
      <c r="R24" s="4" t="s">
        <v>1183</v>
      </c>
      <c r="S24" s="4" t="str">
        <f t="shared" si="0"/>
        <v>§4</v>
      </c>
      <c r="T24" s="4"/>
      <c r="U24" s="4" t="str">
        <f>IF(COUNTIF('Survey 1 Papers'!$D:$D,D24)+COUNTIF('Survey 2 Papers'!$D:$D,D24)&gt;0,"Shared","Unique")</f>
        <v>Unique</v>
      </c>
    </row>
    <row r="25" spans="1:21" ht="29" x14ac:dyDescent="0.35">
      <c r="A25" s="16" t="s">
        <v>1126</v>
      </c>
      <c r="B25" t="s">
        <v>1581</v>
      </c>
      <c r="C25">
        <v>2022</v>
      </c>
      <c r="D25" t="s">
        <v>1582</v>
      </c>
      <c r="E25" t="s">
        <v>1075</v>
      </c>
      <c r="F25" s="4" t="s">
        <v>1583</v>
      </c>
      <c r="G25" t="s">
        <v>183</v>
      </c>
      <c r="H25" s="17" t="s">
        <v>1584</v>
      </c>
      <c r="I25" t="s">
        <v>227</v>
      </c>
      <c r="J25" t="s">
        <v>273</v>
      </c>
      <c r="K25" t="s">
        <v>1132</v>
      </c>
      <c r="L25" t="s">
        <v>238</v>
      </c>
      <c r="M25" t="s">
        <v>275</v>
      </c>
      <c r="N25" t="s">
        <v>235</v>
      </c>
      <c r="O25" s="4" t="s">
        <v>1585</v>
      </c>
      <c r="P25" t="s">
        <v>568</v>
      </c>
      <c r="Q25" t="s">
        <v>569</v>
      </c>
      <c r="R25" s="4" t="s">
        <v>1586</v>
      </c>
      <c r="S25" s="4" t="str">
        <f t="shared" si="0"/>
        <v>§4</v>
      </c>
      <c r="T25" s="4"/>
      <c r="U25" s="4" t="str">
        <f>IF(COUNTIF('Survey 1 Papers'!$D:$D,D25)+COUNTIF('Survey 2 Papers'!$D:$D,D25)&gt;0,"Shared","Unique")</f>
        <v>Unique</v>
      </c>
    </row>
    <row r="26" spans="1:21" ht="29" x14ac:dyDescent="0.35">
      <c r="A26" s="16" t="s">
        <v>1126</v>
      </c>
      <c r="B26" t="s">
        <v>1587</v>
      </c>
      <c r="C26">
        <v>2022</v>
      </c>
      <c r="D26" t="s">
        <v>1588</v>
      </c>
      <c r="E26" t="s">
        <v>1052</v>
      </c>
      <c r="F26" s="4" t="s">
        <v>1589</v>
      </c>
      <c r="G26" t="s">
        <v>183</v>
      </c>
      <c r="H26" s="17" t="s">
        <v>1590</v>
      </c>
      <c r="I26" t="s">
        <v>227</v>
      </c>
      <c r="J26" t="s">
        <v>273</v>
      </c>
      <c r="K26" t="s">
        <v>1132</v>
      </c>
      <c r="L26" t="s">
        <v>238</v>
      </c>
      <c r="M26" t="s">
        <v>275</v>
      </c>
      <c r="N26" t="s">
        <v>235</v>
      </c>
      <c r="O26" s="4" t="s">
        <v>1591</v>
      </c>
      <c r="P26" t="s">
        <v>568</v>
      </c>
      <c r="Q26" t="s">
        <v>569</v>
      </c>
      <c r="R26" s="4" t="s">
        <v>1592</v>
      </c>
      <c r="S26" s="4" t="str">
        <f t="shared" si="0"/>
        <v>§4</v>
      </c>
      <c r="T26" s="4"/>
      <c r="U26" s="4" t="str">
        <f>IF(COUNTIF('Survey 1 Papers'!$D:$D,D26)+COUNTIF('Survey 2 Papers'!$D:$D,D26)&gt;0,"Shared","Unique")</f>
        <v>Unique</v>
      </c>
    </row>
    <row r="27" spans="1:21" ht="29" x14ac:dyDescent="0.35">
      <c r="A27" s="16" t="s">
        <v>1126</v>
      </c>
      <c r="B27" t="s">
        <v>1587</v>
      </c>
      <c r="C27">
        <v>2021</v>
      </c>
      <c r="D27" t="s">
        <v>1593</v>
      </c>
      <c r="E27" t="s">
        <v>1303</v>
      </c>
      <c r="F27" s="4" t="s">
        <v>1594</v>
      </c>
      <c r="G27" t="s">
        <v>183</v>
      </c>
      <c r="H27" s="17" t="s">
        <v>1595</v>
      </c>
      <c r="I27" t="s">
        <v>227</v>
      </c>
      <c r="J27" t="s">
        <v>277</v>
      </c>
      <c r="K27" t="s">
        <v>1132</v>
      </c>
      <c r="L27" t="s">
        <v>238</v>
      </c>
      <c r="M27" t="s">
        <v>272</v>
      </c>
      <c r="N27" t="s">
        <v>235</v>
      </c>
      <c r="O27" s="4" t="s">
        <v>1596</v>
      </c>
      <c r="P27" t="s">
        <v>568</v>
      </c>
      <c r="Q27" t="s">
        <v>569</v>
      </c>
      <c r="R27" s="4" t="s">
        <v>1597</v>
      </c>
      <c r="S27" s="4" t="str">
        <f t="shared" si="0"/>
        <v>§4</v>
      </c>
      <c r="T27" s="4"/>
      <c r="U27" s="4" t="str">
        <f>IF(COUNTIF('Survey 1 Papers'!$D:$D,D27)+COUNTIF('Survey 2 Papers'!$D:$D,D27)&gt;0,"Shared","Unique")</f>
        <v>Unique</v>
      </c>
    </row>
    <row r="28" spans="1:21" ht="29" x14ac:dyDescent="0.35">
      <c r="A28" s="16" t="s">
        <v>1126</v>
      </c>
      <c r="B28" t="s">
        <v>1598</v>
      </c>
      <c r="C28">
        <v>2023</v>
      </c>
      <c r="D28" t="s">
        <v>1599</v>
      </c>
      <c r="E28" t="s">
        <v>1600</v>
      </c>
      <c r="F28" s="4" t="s">
        <v>1601</v>
      </c>
      <c r="G28" t="s">
        <v>183</v>
      </c>
      <c r="H28" s="17" t="s">
        <v>1602</v>
      </c>
      <c r="I28" t="s">
        <v>227</v>
      </c>
      <c r="J28" t="s">
        <v>273</v>
      </c>
      <c r="K28" t="s">
        <v>1132</v>
      </c>
      <c r="L28" t="s">
        <v>238</v>
      </c>
      <c r="M28" t="s">
        <v>275</v>
      </c>
      <c r="N28" t="s">
        <v>235</v>
      </c>
      <c r="O28" s="4" t="s">
        <v>1603</v>
      </c>
      <c r="P28" t="s">
        <v>568</v>
      </c>
      <c r="Q28" t="s">
        <v>569</v>
      </c>
      <c r="R28" s="4" t="s">
        <v>1604</v>
      </c>
      <c r="S28" s="4" t="str">
        <f t="shared" si="0"/>
        <v>§4</v>
      </c>
      <c r="T28" s="4"/>
      <c r="U28" s="4" t="str">
        <f>IF(COUNTIF('Survey 1 Papers'!$D:$D,D28)+COUNTIF('Survey 2 Papers'!$D:$D,D28)&gt;0,"Shared","Unique")</f>
        <v>Unique</v>
      </c>
    </row>
    <row r="29" spans="1:21" ht="43.5" x14ac:dyDescent="0.35">
      <c r="A29" s="16" t="s">
        <v>1184</v>
      </c>
      <c r="B29" t="s">
        <v>1185</v>
      </c>
      <c r="C29">
        <v>2017</v>
      </c>
      <c r="D29" t="s">
        <v>1186</v>
      </c>
      <c r="E29" t="s">
        <v>1187</v>
      </c>
      <c r="F29" s="4" t="s">
        <v>1188</v>
      </c>
      <c r="G29" t="s">
        <v>183</v>
      </c>
      <c r="H29" s="17" t="s">
        <v>1189</v>
      </c>
      <c r="I29" t="s">
        <v>225</v>
      </c>
      <c r="J29" t="s">
        <v>1190</v>
      </c>
      <c r="K29" t="s">
        <v>1191</v>
      </c>
      <c r="L29" t="s">
        <v>1057</v>
      </c>
      <c r="M29" t="s">
        <v>285</v>
      </c>
      <c r="N29" t="s">
        <v>231</v>
      </c>
      <c r="O29" s="4" t="s">
        <v>1192</v>
      </c>
      <c r="P29" t="s">
        <v>579</v>
      </c>
      <c r="Q29" t="s">
        <v>569</v>
      </c>
      <c r="R29" s="4" t="s">
        <v>1193</v>
      </c>
      <c r="S29" s="4" t="str">
        <f t="shared" si="0"/>
        <v>§9; §14</v>
      </c>
      <c r="T29" s="4"/>
      <c r="U29" s="4" t="str">
        <f>IF(COUNTIF('Survey 1 Papers'!$D:$D,D29)+COUNTIF('Survey 2 Papers'!$D:$D,D29)&gt;0,"Shared","Unique")</f>
        <v>Unique</v>
      </c>
    </row>
    <row r="30" spans="1:21" ht="29" x14ac:dyDescent="0.35">
      <c r="A30" s="16" t="s">
        <v>1184</v>
      </c>
      <c r="B30" t="s">
        <v>1194</v>
      </c>
      <c r="C30">
        <v>2018</v>
      </c>
      <c r="D30" t="s">
        <v>1195</v>
      </c>
      <c r="E30" t="s">
        <v>1196</v>
      </c>
      <c r="F30" s="4" t="s">
        <v>1197</v>
      </c>
      <c r="G30" t="s">
        <v>183</v>
      </c>
      <c r="H30" s="17" t="s">
        <v>1198</v>
      </c>
      <c r="I30" t="s">
        <v>227</v>
      </c>
      <c r="J30" t="s">
        <v>1190</v>
      </c>
      <c r="K30" t="s">
        <v>1191</v>
      </c>
      <c r="L30" t="s">
        <v>238</v>
      </c>
      <c r="M30" t="s">
        <v>275</v>
      </c>
      <c r="N30" t="s">
        <v>231</v>
      </c>
      <c r="O30" s="4" t="s">
        <v>1199</v>
      </c>
      <c r="P30" t="s">
        <v>579</v>
      </c>
      <c r="Q30" t="s">
        <v>569</v>
      </c>
      <c r="R30" s="4" t="s">
        <v>1200</v>
      </c>
      <c r="S30" s="4" t="str">
        <f t="shared" si="0"/>
        <v>§9</v>
      </c>
      <c r="T30" s="4"/>
      <c r="U30" s="4" t="str">
        <f>IF(COUNTIF('Survey 1 Papers'!$D:$D,D30)+COUNTIF('Survey 2 Papers'!$D:$D,D30)&gt;0,"Shared","Unique")</f>
        <v>Unique</v>
      </c>
    </row>
    <row r="31" spans="1:21" ht="29" x14ac:dyDescent="0.35">
      <c r="A31" s="16" t="s">
        <v>1184</v>
      </c>
      <c r="B31" t="s">
        <v>1201</v>
      </c>
      <c r="C31">
        <v>2016</v>
      </c>
      <c r="D31" t="s">
        <v>1202</v>
      </c>
      <c r="E31" t="s">
        <v>1203</v>
      </c>
      <c r="F31" s="4" t="s">
        <v>1204</v>
      </c>
      <c r="G31" t="s">
        <v>183</v>
      </c>
      <c r="H31" s="17" t="s">
        <v>1205</v>
      </c>
      <c r="I31" t="s">
        <v>226</v>
      </c>
      <c r="J31" t="s">
        <v>1190</v>
      </c>
      <c r="K31" t="s">
        <v>1191</v>
      </c>
      <c r="L31" t="s">
        <v>1057</v>
      </c>
      <c r="M31" t="s">
        <v>285</v>
      </c>
      <c r="N31" t="s">
        <v>231</v>
      </c>
      <c r="O31" s="4" t="s">
        <v>1206</v>
      </c>
      <c r="P31" t="s">
        <v>579</v>
      </c>
      <c r="Q31" t="s">
        <v>569</v>
      </c>
      <c r="R31" s="18" t="s">
        <v>1207</v>
      </c>
      <c r="S31" s="4" t="str">
        <f t="shared" si="0"/>
        <v>§9; §14</v>
      </c>
      <c r="T31" s="18"/>
      <c r="U31" s="4" t="str">
        <f>IF(COUNTIF('Survey 1 Papers'!$D:$D,D31)+COUNTIF('Survey 2 Papers'!$D:$D,D31)&gt;0,"Shared","Unique")</f>
        <v>Unique</v>
      </c>
    </row>
    <row r="32" spans="1:21" ht="29" x14ac:dyDescent="0.35">
      <c r="A32" s="16" t="s">
        <v>1184</v>
      </c>
      <c r="B32" t="s">
        <v>1208</v>
      </c>
      <c r="C32">
        <v>2016</v>
      </c>
      <c r="D32" t="s">
        <v>1209</v>
      </c>
      <c r="E32" t="s">
        <v>1210</v>
      </c>
      <c r="F32" s="4" t="s">
        <v>1211</v>
      </c>
      <c r="G32" t="s">
        <v>183</v>
      </c>
      <c r="H32" s="17" t="s">
        <v>1212</v>
      </c>
      <c r="I32" t="s">
        <v>227</v>
      </c>
      <c r="J32" t="s">
        <v>1190</v>
      </c>
      <c r="K32" t="s">
        <v>1191</v>
      </c>
      <c r="L32" t="s">
        <v>238</v>
      </c>
      <c r="M32" t="s">
        <v>275</v>
      </c>
      <c r="N32" t="s">
        <v>231</v>
      </c>
      <c r="O32" s="4" t="s">
        <v>1213</v>
      </c>
      <c r="P32" t="s">
        <v>579</v>
      </c>
      <c r="Q32" t="s">
        <v>569</v>
      </c>
      <c r="R32" s="4" t="s">
        <v>1214</v>
      </c>
      <c r="S32" s="4" t="str">
        <f t="shared" si="0"/>
        <v>§9</v>
      </c>
      <c r="T32" s="4"/>
      <c r="U32" s="4" t="str">
        <f>IF(COUNTIF('Survey 1 Papers'!$D:$D,D32)+COUNTIF('Survey 2 Papers'!$D:$D,D32)&gt;0,"Shared","Unique")</f>
        <v>Unique</v>
      </c>
    </row>
    <row r="33" spans="1:21" ht="29" x14ac:dyDescent="0.35">
      <c r="A33" s="16" t="s">
        <v>1184</v>
      </c>
      <c r="B33" t="s">
        <v>1215</v>
      </c>
      <c r="C33">
        <v>2019</v>
      </c>
      <c r="D33" t="s">
        <v>1216</v>
      </c>
      <c r="E33" t="s">
        <v>1217</v>
      </c>
      <c r="F33" s="4" t="s">
        <v>1218</v>
      </c>
      <c r="G33" t="s">
        <v>183</v>
      </c>
      <c r="H33" s="17" t="s">
        <v>1219</v>
      </c>
      <c r="I33" t="s">
        <v>227</v>
      </c>
      <c r="J33" t="s">
        <v>1220</v>
      </c>
      <c r="K33" t="s">
        <v>1191</v>
      </c>
      <c r="L33" t="s">
        <v>238</v>
      </c>
      <c r="M33" t="s">
        <v>275</v>
      </c>
      <c r="N33" t="s">
        <v>235</v>
      </c>
      <c r="O33" s="4" t="s">
        <v>1221</v>
      </c>
      <c r="P33" t="s">
        <v>579</v>
      </c>
      <c r="Q33" t="s">
        <v>569</v>
      </c>
      <c r="R33" s="4" t="s">
        <v>1222</v>
      </c>
      <c r="S33" s="4" t="str">
        <f t="shared" si="0"/>
        <v>§9</v>
      </c>
      <c r="T33" s="4"/>
      <c r="U33" s="4" t="str">
        <f>IF(COUNTIF('Survey 1 Papers'!$D:$D,D33)+COUNTIF('Survey 2 Papers'!$D:$D,D33)&gt;0,"Shared","Unique")</f>
        <v>Unique</v>
      </c>
    </row>
    <row r="34" spans="1:21" ht="29" x14ac:dyDescent="0.35">
      <c r="A34" s="16" t="s">
        <v>1184</v>
      </c>
      <c r="B34" t="s">
        <v>1223</v>
      </c>
      <c r="C34">
        <v>2017</v>
      </c>
      <c r="D34" t="s">
        <v>1224</v>
      </c>
      <c r="E34" t="s">
        <v>1225</v>
      </c>
      <c r="F34" s="4" t="s">
        <v>1226</v>
      </c>
      <c r="G34" t="s">
        <v>183</v>
      </c>
      <c r="H34" s="17" t="s">
        <v>1227</v>
      </c>
      <c r="I34" t="s">
        <v>227</v>
      </c>
      <c r="J34" t="s">
        <v>1190</v>
      </c>
      <c r="K34" t="s">
        <v>1191</v>
      </c>
      <c r="L34" t="s">
        <v>238</v>
      </c>
      <c r="M34" t="s">
        <v>272</v>
      </c>
      <c r="N34" t="s">
        <v>231</v>
      </c>
      <c r="O34" s="4" t="s">
        <v>1228</v>
      </c>
      <c r="P34" t="s">
        <v>579</v>
      </c>
      <c r="Q34" t="s">
        <v>569</v>
      </c>
      <c r="R34" s="4" t="s">
        <v>1229</v>
      </c>
      <c r="S34" s="4" t="str">
        <f t="shared" si="0"/>
        <v>§9</v>
      </c>
      <c r="T34" s="4"/>
      <c r="U34" s="4" t="str">
        <f>IF(COUNTIF('Survey 1 Papers'!$D:$D,D34)+COUNTIF('Survey 2 Papers'!$D:$D,D34)&gt;0,"Shared","Unique")</f>
        <v>Unique</v>
      </c>
    </row>
    <row r="35" spans="1:21" ht="43.5" x14ac:dyDescent="0.35">
      <c r="A35" s="16" t="s">
        <v>1184</v>
      </c>
      <c r="B35" t="s">
        <v>1605</v>
      </c>
      <c r="C35">
        <v>2019</v>
      </c>
      <c r="D35" t="s">
        <v>1606</v>
      </c>
      <c r="E35" t="s">
        <v>1393</v>
      </c>
      <c r="F35" s="4" t="s">
        <v>1607</v>
      </c>
      <c r="G35" t="s">
        <v>183</v>
      </c>
      <c r="H35" s="17" t="s">
        <v>1608</v>
      </c>
      <c r="I35" t="s">
        <v>226</v>
      </c>
      <c r="J35" t="s">
        <v>1190</v>
      </c>
      <c r="K35" t="s">
        <v>1191</v>
      </c>
      <c r="L35" t="s">
        <v>1057</v>
      </c>
      <c r="M35" t="s">
        <v>285</v>
      </c>
      <c r="N35" t="s">
        <v>235</v>
      </c>
      <c r="O35" s="4" t="s">
        <v>1609</v>
      </c>
      <c r="P35" t="s">
        <v>579</v>
      </c>
      <c r="Q35" t="s">
        <v>569</v>
      </c>
      <c r="R35" s="4" t="s">
        <v>1610</v>
      </c>
      <c r="S35" s="4" t="str">
        <f t="shared" si="0"/>
        <v>§9; §14</v>
      </c>
      <c r="T35" s="4"/>
      <c r="U35" s="4" t="str">
        <f>IF(COUNTIF('Survey 1 Papers'!$D:$D,D35)+COUNTIF('Survey 2 Papers'!$D:$D,D35)&gt;0,"Shared","Unique")</f>
        <v>Unique</v>
      </c>
    </row>
    <row r="36" spans="1:21" ht="29" x14ac:dyDescent="0.35">
      <c r="A36" s="16" t="s">
        <v>1184</v>
      </c>
      <c r="B36" t="s">
        <v>1611</v>
      </c>
      <c r="C36">
        <v>2020</v>
      </c>
      <c r="D36" t="s">
        <v>1612</v>
      </c>
      <c r="E36" t="s">
        <v>1613</v>
      </c>
      <c r="F36" s="4" t="s">
        <v>1614</v>
      </c>
      <c r="G36" t="s">
        <v>183</v>
      </c>
      <c r="H36" s="17" t="s">
        <v>1615</v>
      </c>
      <c r="I36" t="s">
        <v>226</v>
      </c>
      <c r="J36" t="s">
        <v>1190</v>
      </c>
      <c r="K36" t="s">
        <v>1191</v>
      </c>
      <c r="L36" t="s">
        <v>1057</v>
      </c>
      <c r="M36" t="s">
        <v>285</v>
      </c>
      <c r="N36" t="s">
        <v>231</v>
      </c>
      <c r="O36" s="4" t="s">
        <v>1616</v>
      </c>
      <c r="P36" t="s">
        <v>579</v>
      </c>
      <c r="Q36" t="s">
        <v>569</v>
      </c>
      <c r="R36" s="4" t="s">
        <v>1617</v>
      </c>
      <c r="S36" s="4" t="str">
        <f t="shared" si="0"/>
        <v>§9; §14</v>
      </c>
      <c r="T36" s="4"/>
      <c r="U36" s="4" t="str">
        <f>IF(COUNTIF('Survey 1 Papers'!$D:$D,D36)+COUNTIF('Survey 2 Papers'!$D:$D,D36)&gt;0,"Shared","Unique")</f>
        <v>Unique</v>
      </c>
    </row>
    <row r="37" spans="1:21" ht="29" x14ac:dyDescent="0.35">
      <c r="A37" s="16" t="s">
        <v>1184</v>
      </c>
      <c r="B37" t="s">
        <v>1618</v>
      </c>
      <c r="C37">
        <v>2021</v>
      </c>
      <c r="D37" t="s">
        <v>1619</v>
      </c>
      <c r="E37" t="s">
        <v>1620</v>
      </c>
      <c r="F37" s="4" t="s">
        <v>1621</v>
      </c>
      <c r="G37" t="s">
        <v>183</v>
      </c>
      <c r="H37" s="17" t="s">
        <v>1622</v>
      </c>
      <c r="I37" t="s">
        <v>227</v>
      </c>
      <c r="J37" t="s">
        <v>1190</v>
      </c>
      <c r="K37" t="s">
        <v>1191</v>
      </c>
      <c r="L37" t="s">
        <v>238</v>
      </c>
      <c r="M37" t="s">
        <v>275</v>
      </c>
      <c r="N37" t="s">
        <v>233</v>
      </c>
      <c r="O37" s="4" t="s">
        <v>1623</v>
      </c>
      <c r="P37" t="s">
        <v>579</v>
      </c>
      <c r="Q37" t="s">
        <v>569</v>
      </c>
      <c r="R37" s="4" t="s">
        <v>1624</v>
      </c>
      <c r="S37" s="4" t="str">
        <f t="shared" si="0"/>
        <v>§9</v>
      </c>
      <c r="T37" s="4"/>
      <c r="U37" s="4" t="str">
        <f>IF(COUNTIF('Survey 1 Papers'!$D:$D,D37)+COUNTIF('Survey 2 Papers'!$D:$D,D37)&gt;0,"Shared","Unique")</f>
        <v>Unique</v>
      </c>
    </row>
    <row r="38" spans="1:21" ht="29" x14ac:dyDescent="0.35">
      <c r="A38" s="16" t="s">
        <v>1230</v>
      </c>
      <c r="B38" t="s">
        <v>1231</v>
      </c>
      <c r="C38">
        <v>2017</v>
      </c>
      <c r="D38" t="s">
        <v>1232</v>
      </c>
      <c r="E38" t="s">
        <v>1233</v>
      </c>
      <c r="F38" s="4" t="s">
        <v>1234</v>
      </c>
      <c r="G38" t="s">
        <v>183</v>
      </c>
      <c r="H38" s="17" t="s">
        <v>1235</v>
      </c>
      <c r="I38" t="s">
        <v>226</v>
      </c>
      <c r="J38" t="s">
        <v>1236</v>
      </c>
      <c r="K38" t="s">
        <v>1237</v>
      </c>
      <c r="L38" t="s">
        <v>238</v>
      </c>
      <c r="M38" t="s">
        <v>272</v>
      </c>
      <c r="N38" t="s">
        <v>231</v>
      </c>
      <c r="O38" s="4" t="s">
        <v>1238</v>
      </c>
      <c r="P38" t="s">
        <v>573</v>
      </c>
      <c r="Q38" t="s">
        <v>569</v>
      </c>
      <c r="R38" s="4" t="s">
        <v>1239</v>
      </c>
      <c r="S38" s="4" t="str">
        <f>P38&amp;"; §2"&amp;IF(M38="High","; §14","")</f>
        <v>§6; §2</v>
      </c>
      <c r="T38" s="4"/>
      <c r="U38" s="4" t="str">
        <f>IF(COUNTIF('Survey 1 Papers'!$D:$D,D38)+COUNTIF('Survey 2 Papers'!$D:$D,D38)&gt;0,"Shared","Unique")</f>
        <v>Unique</v>
      </c>
    </row>
    <row r="39" spans="1:21" ht="29" x14ac:dyDescent="0.35">
      <c r="A39" s="16" t="s">
        <v>1230</v>
      </c>
      <c r="B39" t="s">
        <v>1240</v>
      </c>
      <c r="C39">
        <v>2018</v>
      </c>
      <c r="D39" t="s">
        <v>1241</v>
      </c>
      <c r="E39" t="s">
        <v>1242</v>
      </c>
      <c r="F39" s="4" t="s">
        <v>1243</v>
      </c>
      <c r="G39" t="s">
        <v>183</v>
      </c>
      <c r="H39" s="17" t="s">
        <v>1244</v>
      </c>
      <c r="I39" t="s">
        <v>226</v>
      </c>
      <c r="J39" t="s">
        <v>1236</v>
      </c>
      <c r="K39" t="s">
        <v>1237</v>
      </c>
      <c r="L39" t="s">
        <v>1057</v>
      </c>
      <c r="M39" t="s">
        <v>275</v>
      </c>
      <c r="N39" t="s">
        <v>231</v>
      </c>
      <c r="O39" s="4" t="s">
        <v>1245</v>
      </c>
      <c r="P39" t="s">
        <v>573</v>
      </c>
      <c r="Q39" t="s">
        <v>569</v>
      </c>
      <c r="R39" s="4" t="s">
        <v>1246</v>
      </c>
      <c r="S39" s="4" t="str">
        <f>P39&amp;"; §2"&amp;IF(M39="High","; §14","")</f>
        <v>§6; §2</v>
      </c>
      <c r="T39" s="4"/>
      <c r="U39" s="4" t="str">
        <f>IF(COUNTIF('Survey 1 Papers'!$D:$D,D39)+COUNTIF('Survey 2 Papers'!$D:$D,D39)&gt;0,"Shared","Unique")</f>
        <v>Unique</v>
      </c>
    </row>
    <row r="40" spans="1:21" ht="29" x14ac:dyDescent="0.35">
      <c r="A40" s="16" t="s">
        <v>1230</v>
      </c>
      <c r="B40" t="s">
        <v>1247</v>
      </c>
      <c r="C40">
        <v>2018</v>
      </c>
      <c r="D40" t="s">
        <v>1248</v>
      </c>
      <c r="E40" t="s">
        <v>1242</v>
      </c>
      <c r="F40" s="4" t="s">
        <v>1249</v>
      </c>
      <c r="G40" t="s">
        <v>183</v>
      </c>
      <c r="H40" s="17" t="s">
        <v>1250</v>
      </c>
      <c r="I40" t="s">
        <v>227</v>
      </c>
      <c r="J40" t="s">
        <v>1236</v>
      </c>
      <c r="K40" t="s">
        <v>1237</v>
      </c>
      <c r="L40" t="s">
        <v>238</v>
      </c>
      <c r="M40" t="s">
        <v>272</v>
      </c>
      <c r="N40" t="s">
        <v>231</v>
      </c>
      <c r="O40" s="4" t="s">
        <v>1251</v>
      </c>
      <c r="P40" t="s">
        <v>573</v>
      </c>
      <c r="Q40" t="s">
        <v>569</v>
      </c>
      <c r="R40" s="4" t="s">
        <v>1252</v>
      </c>
      <c r="S40" s="4" t="str">
        <f t="shared" si="0"/>
        <v>§6</v>
      </c>
      <c r="T40" s="4"/>
      <c r="U40" s="4" t="str">
        <f>IF(COUNTIF('Survey 1 Papers'!$D:$D,D40)+COUNTIF('Survey 2 Papers'!$D:$D,D40)&gt;0,"Shared","Unique")</f>
        <v>Unique</v>
      </c>
    </row>
    <row r="41" spans="1:21" ht="29" x14ac:dyDescent="0.35">
      <c r="A41" s="16" t="s">
        <v>1230</v>
      </c>
      <c r="B41" t="s">
        <v>1253</v>
      </c>
      <c r="C41">
        <v>2016</v>
      </c>
      <c r="D41" t="s">
        <v>1254</v>
      </c>
      <c r="E41" t="s">
        <v>1210</v>
      </c>
      <c r="F41" s="4" t="s">
        <v>1255</v>
      </c>
      <c r="G41" t="s">
        <v>183</v>
      </c>
      <c r="H41" s="17" t="s">
        <v>1256</v>
      </c>
      <c r="I41" t="s">
        <v>225</v>
      </c>
      <c r="J41" t="s">
        <v>1257</v>
      </c>
      <c r="K41" t="s">
        <v>1237</v>
      </c>
      <c r="L41" t="s">
        <v>1057</v>
      </c>
      <c r="M41" t="s">
        <v>285</v>
      </c>
      <c r="N41" t="s">
        <v>231</v>
      </c>
      <c r="O41" s="4" t="s">
        <v>1258</v>
      </c>
      <c r="P41" t="s">
        <v>573</v>
      </c>
      <c r="Q41" t="s">
        <v>569</v>
      </c>
      <c r="R41" s="4" t="s">
        <v>1259</v>
      </c>
      <c r="S41" s="4" t="str">
        <f t="shared" si="0"/>
        <v>§6; §14</v>
      </c>
      <c r="T41" s="4"/>
      <c r="U41" s="4" t="str">
        <f>IF(COUNTIF('Survey 1 Papers'!$D:$D,D41)+COUNTIF('Survey 2 Papers'!$D:$D,D41)&gt;0,"Shared","Unique")</f>
        <v>Unique</v>
      </c>
    </row>
    <row r="42" spans="1:21" ht="29" x14ac:dyDescent="0.35">
      <c r="A42" s="16" t="s">
        <v>1230</v>
      </c>
      <c r="B42" t="s">
        <v>1260</v>
      </c>
      <c r="C42">
        <v>2018</v>
      </c>
      <c r="D42" t="s">
        <v>1261</v>
      </c>
      <c r="E42" t="s">
        <v>1262</v>
      </c>
      <c r="F42" s="4" t="s">
        <v>1263</v>
      </c>
      <c r="G42" t="s">
        <v>183</v>
      </c>
      <c r="H42" s="17" t="s">
        <v>1264</v>
      </c>
      <c r="I42" t="s">
        <v>227</v>
      </c>
      <c r="J42" t="s">
        <v>1236</v>
      </c>
      <c r="K42" t="s">
        <v>1237</v>
      </c>
      <c r="L42" t="s">
        <v>238</v>
      </c>
      <c r="M42" t="s">
        <v>275</v>
      </c>
      <c r="N42" t="s">
        <v>235</v>
      </c>
      <c r="O42" s="4" t="s">
        <v>1265</v>
      </c>
      <c r="P42" t="s">
        <v>573</v>
      </c>
      <c r="Q42" t="s">
        <v>569</v>
      </c>
      <c r="R42" s="4" t="s">
        <v>1266</v>
      </c>
      <c r="S42" s="4" t="str">
        <f t="shared" si="0"/>
        <v>§6</v>
      </c>
      <c r="T42" s="4"/>
      <c r="U42" s="4" t="str">
        <f>IF(COUNTIF('Survey 1 Papers'!$D:$D,D42)+COUNTIF('Survey 2 Papers'!$D:$D,D42)&gt;0,"Shared","Unique")</f>
        <v>Unique</v>
      </c>
    </row>
    <row r="43" spans="1:21" ht="29" x14ac:dyDescent="0.35">
      <c r="A43" s="16" t="s">
        <v>1230</v>
      </c>
      <c r="B43" t="s">
        <v>1267</v>
      </c>
      <c r="C43">
        <v>2023</v>
      </c>
      <c r="D43" t="s">
        <v>1268</v>
      </c>
      <c r="E43" t="s">
        <v>1269</v>
      </c>
      <c r="F43" s="4" t="s">
        <v>1270</v>
      </c>
      <c r="G43" t="s">
        <v>183</v>
      </c>
      <c r="H43" s="17" t="s">
        <v>1271</v>
      </c>
      <c r="I43" t="s">
        <v>226</v>
      </c>
      <c r="J43" t="s">
        <v>1236</v>
      </c>
      <c r="K43" t="s">
        <v>1237</v>
      </c>
      <c r="L43" t="s">
        <v>238</v>
      </c>
      <c r="M43" t="s">
        <v>275</v>
      </c>
      <c r="N43" t="s">
        <v>235</v>
      </c>
      <c r="O43" s="4" t="s">
        <v>1272</v>
      </c>
      <c r="P43" t="s">
        <v>573</v>
      </c>
      <c r="Q43" t="s">
        <v>569</v>
      </c>
      <c r="R43" s="4" t="s">
        <v>1273</v>
      </c>
      <c r="S43" s="4" t="str">
        <f t="shared" si="0"/>
        <v>§6</v>
      </c>
      <c r="T43" s="4"/>
      <c r="U43" s="4" t="str">
        <f>IF(COUNTIF('Survey 1 Papers'!$D:$D,D43)+COUNTIF('Survey 2 Papers'!$D:$D,D43)&gt;0,"Shared","Unique")</f>
        <v>Unique</v>
      </c>
    </row>
    <row r="44" spans="1:21" ht="29" x14ac:dyDescent="0.35">
      <c r="A44" s="16" t="s">
        <v>1230</v>
      </c>
      <c r="B44" t="s">
        <v>1625</v>
      </c>
      <c r="C44">
        <v>2015</v>
      </c>
      <c r="D44" t="s">
        <v>1626</v>
      </c>
      <c r="E44" t="s">
        <v>1627</v>
      </c>
      <c r="F44" s="4" t="s">
        <v>1628</v>
      </c>
      <c r="G44" t="s">
        <v>1348</v>
      </c>
      <c r="H44" s="17" t="s">
        <v>1629</v>
      </c>
      <c r="I44" t="s">
        <v>226</v>
      </c>
      <c r="J44" t="s">
        <v>1236</v>
      </c>
      <c r="K44" t="s">
        <v>1237</v>
      </c>
      <c r="L44" t="s">
        <v>238</v>
      </c>
      <c r="M44" t="s">
        <v>272</v>
      </c>
      <c r="N44" t="s">
        <v>235</v>
      </c>
      <c r="O44" s="4" t="s">
        <v>1630</v>
      </c>
      <c r="P44" t="s">
        <v>573</v>
      </c>
      <c r="Q44" t="s">
        <v>569</v>
      </c>
      <c r="R44" s="4" t="s">
        <v>1631</v>
      </c>
      <c r="S44" s="4" t="str">
        <f t="shared" si="0"/>
        <v>§6</v>
      </c>
      <c r="T44" s="4"/>
      <c r="U44" s="4" t="str">
        <f>IF(COUNTIF('Survey 1 Papers'!$D:$D,D44)+COUNTIF('Survey 2 Papers'!$D:$D,D44)&gt;0,"Shared","Unique")</f>
        <v>Unique</v>
      </c>
    </row>
    <row r="45" spans="1:21" ht="29" x14ac:dyDescent="0.35">
      <c r="A45" s="16" t="s">
        <v>1230</v>
      </c>
      <c r="B45" t="s">
        <v>1632</v>
      </c>
      <c r="C45">
        <v>2017</v>
      </c>
      <c r="D45" t="s">
        <v>1633</v>
      </c>
      <c r="E45" t="s">
        <v>1225</v>
      </c>
      <c r="F45" s="4" t="s">
        <v>1634</v>
      </c>
      <c r="G45" t="s">
        <v>183</v>
      </c>
      <c r="H45" s="17" t="s">
        <v>1635</v>
      </c>
      <c r="I45" t="s">
        <v>226</v>
      </c>
      <c r="J45" t="s">
        <v>1145</v>
      </c>
      <c r="K45" t="s">
        <v>1237</v>
      </c>
      <c r="L45" t="s">
        <v>1057</v>
      </c>
      <c r="M45" t="s">
        <v>285</v>
      </c>
      <c r="N45" t="s">
        <v>235</v>
      </c>
      <c r="O45" s="4" t="s">
        <v>1636</v>
      </c>
      <c r="P45" t="s">
        <v>573</v>
      </c>
      <c r="Q45" t="s">
        <v>569</v>
      </c>
      <c r="R45" s="4" t="s">
        <v>1637</v>
      </c>
      <c r="S45" s="4" t="str">
        <f t="shared" si="0"/>
        <v>§6; §14</v>
      </c>
      <c r="T45" s="4"/>
      <c r="U45" s="4" t="str">
        <f>IF(COUNTIF('Survey 1 Papers'!$D:$D,D45)+COUNTIF('Survey 2 Papers'!$D:$D,D45)&gt;0,"Shared","Unique")</f>
        <v>Unique</v>
      </c>
    </row>
    <row r="46" spans="1:21" ht="29" x14ac:dyDescent="0.35">
      <c r="A46" s="16" t="s">
        <v>1230</v>
      </c>
      <c r="B46" t="s">
        <v>1638</v>
      </c>
      <c r="C46">
        <v>2018</v>
      </c>
      <c r="D46" t="s">
        <v>1639</v>
      </c>
      <c r="E46" t="s">
        <v>1363</v>
      </c>
      <c r="F46" s="4" t="s">
        <v>1640</v>
      </c>
      <c r="G46" t="s">
        <v>183</v>
      </c>
      <c r="H46" s="17" t="s">
        <v>1641</v>
      </c>
      <c r="I46" t="s">
        <v>227</v>
      </c>
      <c r="J46" t="s">
        <v>1257</v>
      </c>
      <c r="K46" t="s">
        <v>1237</v>
      </c>
      <c r="L46" t="s">
        <v>238</v>
      </c>
      <c r="M46" t="s">
        <v>275</v>
      </c>
      <c r="N46" t="s">
        <v>235</v>
      </c>
      <c r="O46" s="4" t="s">
        <v>1642</v>
      </c>
      <c r="P46" t="s">
        <v>573</v>
      </c>
      <c r="Q46" t="s">
        <v>569</v>
      </c>
      <c r="R46" s="4" t="s">
        <v>1643</v>
      </c>
      <c r="S46" s="4" t="str">
        <f t="shared" si="0"/>
        <v>§6</v>
      </c>
      <c r="T46" s="4"/>
      <c r="U46" s="4" t="str">
        <f>IF(COUNTIF('Survey 1 Papers'!$D:$D,D46)+COUNTIF('Survey 2 Papers'!$D:$D,D46)&gt;0,"Shared","Unique")</f>
        <v>Unique</v>
      </c>
    </row>
    <row r="47" spans="1:21" ht="29" x14ac:dyDescent="0.35">
      <c r="A47" s="16" t="s">
        <v>1230</v>
      </c>
      <c r="B47" t="s">
        <v>1644</v>
      </c>
      <c r="C47">
        <v>2020</v>
      </c>
      <c r="D47" t="s">
        <v>1645</v>
      </c>
      <c r="E47" t="s">
        <v>1646</v>
      </c>
      <c r="F47" s="4" t="s">
        <v>1647</v>
      </c>
      <c r="G47" t="s">
        <v>183</v>
      </c>
      <c r="H47" s="17" t="s">
        <v>1648</v>
      </c>
      <c r="I47" t="s">
        <v>227</v>
      </c>
      <c r="J47" t="s">
        <v>1236</v>
      </c>
      <c r="K47" t="s">
        <v>1237</v>
      </c>
      <c r="L47" t="s">
        <v>238</v>
      </c>
      <c r="M47" t="s">
        <v>275</v>
      </c>
      <c r="N47" t="s">
        <v>231</v>
      </c>
      <c r="O47" s="4" t="s">
        <v>1649</v>
      </c>
      <c r="P47" t="s">
        <v>573</v>
      </c>
      <c r="Q47" t="s">
        <v>569</v>
      </c>
      <c r="R47" s="4" t="s">
        <v>1650</v>
      </c>
      <c r="S47" s="4" t="str">
        <f t="shared" si="0"/>
        <v>§6</v>
      </c>
      <c r="T47" s="4"/>
      <c r="U47" s="4" t="str">
        <f>IF(COUNTIF('Survey 1 Papers'!$D:$D,D47)+COUNTIF('Survey 2 Papers'!$D:$D,D47)&gt;0,"Shared","Unique")</f>
        <v>Unique</v>
      </c>
    </row>
    <row r="48" spans="1:21" ht="29" x14ac:dyDescent="0.35">
      <c r="A48" s="16" t="s">
        <v>1274</v>
      </c>
      <c r="B48" t="s">
        <v>1275</v>
      </c>
      <c r="C48">
        <v>2011</v>
      </c>
      <c r="D48" t="s">
        <v>1276</v>
      </c>
      <c r="E48" t="s">
        <v>1277</v>
      </c>
      <c r="F48" s="4" t="s">
        <v>1278</v>
      </c>
      <c r="G48" t="s">
        <v>183</v>
      </c>
      <c r="H48" s="17" t="s">
        <v>1279</v>
      </c>
      <c r="I48" t="s">
        <v>226</v>
      </c>
      <c r="J48" t="s">
        <v>1280</v>
      </c>
      <c r="K48" t="s">
        <v>1280</v>
      </c>
      <c r="L48" t="s">
        <v>238</v>
      </c>
      <c r="M48" t="s">
        <v>275</v>
      </c>
      <c r="N48" t="s">
        <v>231</v>
      </c>
      <c r="O48" s="4" t="s">
        <v>1281</v>
      </c>
      <c r="P48" t="s">
        <v>572</v>
      </c>
      <c r="Q48" t="s">
        <v>569</v>
      </c>
      <c r="R48" s="4" t="s">
        <v>1282</v>
      </c>
      <c r="S48" s="4" t="str">
        <f>P48&amp;"; §2"&amp;IF(M48="High","; §14","")</f>
        <v>§7; §2</v>
      </c>
      <c r="T48" s="4"/>
      <c r="U48" s="4" t="str">
        <f>IF(COUNTIF('Survey 1 Papers'!$D:$D,D48)+COUNTIF('Survey 2 Papers'!$D:$D,D48)&gt;0,"Shared","Unique")</f>
        <v>Unique</v>
      </c>
    </row>
    <row r="49" spans="1:21" ht="29" x14ac:dyDescent="0.35">
      <c r="A49" s="16" t="s">
        <v>1274</v>
      </c>
      <c r="B49" t="s">
        <v>1283</v>
      </c>
      <c r="C49">
        <v>2016</v>
      </c>
      <c r="D49" t="s">
        <v>1284</v>
      </c>
      <c r="E49" t="s">
        <v>1210</v>
      </c>
      <c r="F49" s="4" t="s">
        <v>1285</v>
      </c>
      <c r="G49" t="s">
        <v>183</v>
      </c>
      <c r="H49" s="17" t="s">
        <v>1286</v>
      </c>
      <c r="I49" t="s">
        <v>227</v>
      </c>
      <c r="J49" t="s">
        <v>1280</v>
      </c>
      <c r="K49" t="s">
        <v>1280</v>
      </c>
      <c r="L49" t="s">
        <v>238</v>
      </c>
      <c r="M49" t="s">
        <v>272</v>
      </c>
      <c r="N49" t="s">
        <v>231</v>
      </c>
      <c r="O49" s="4" t="s">
        <v>1287</v>
      </c>
      <c r="P49" t="s">
        <v>572</v>
      </c>
      <c r="Q49" t="s">
        <v>569</v>
      </c>
      <c r="R49" s="4" t="s">
        <v>1288</v>
      </c>
      <c r="S49" s="4" t="str">
        <f t="shared" si="0"/>
        <v>§7</v>
      </c>
      <c r="T49" s="4"/>
      <c r="U49" s="4" t="str">
        <f>IF(COUNTIF('Survey 1 Papers'!$D:$D,D49)+COUNTIF('Survey 2 Papers'!$D:$D,D49)&gt;0,"Shared","Unique")</f>
        <v>Unique</v>
      </c>
    </row>
    <row r="50" spans="1:21" ht="29" x14ac:dyDescent="0.35">
      <c r="A50" s="16" t="s">
        <v>1274</v>
      </c>
      <c r="B50" t="s">
        <v>1289</v>
      </c>
      <c r="C50">
        <v>2023</v>
      </c>
      <c r="D50" t="s">
        <v>1290</v>
      </c>
      <c r="E50" t="s">
        <v>1129</v>
      </c>
      <c r="F50" s="4" t="s">
        <v>1291</v>
      </c>
      <c r="G50" t="s">
        <v>183</v>
      </c>
      <c r="H50" s="17" t="s">
        <v>1292</v>
      </c>
      <c r="I50" t="s">
        <v>225</v>
      </c>
      <c r="J50" t="s">
        <v>1280</v>
      </c>
      <c r="K50" t="s">
        <v>1280</v>
      </c>
      <c r="L50" t="s">
        <v>1057</v>
      </c>
      <c r="M50" t="s">
        <v>285</v>
      </c>
      <c r="N50" t="s">
        <v>235</v>
      </c>
      <c r="O50" s="4" t="s">
        <v>1293</v>
      </c>
      <c r="P50" t="s">
        <v>572</v>
      </c>
      <c r="Q50" t="s">
        <v>569</v>
      </c>
      <c r="R50" s="4" t="s">
        <v>1294</v>
      </c>
      <c r="S50" s="4" t="str">
        <f>P50&amp;"; §2"&amp;IF(M50="High","; §14","")</f>
        <v>§7; §2; §14</v>
      </c>
      <c r="T50" s="4"/>
      <c r="U50" s="4" t="str">
        <f>IF(COUNTIF('Survey 1 Papers'!$D:$D,D50)+COUNTIF('Survey 2 Papers'!$D:$D,D50)&gt;0,"Shared","Unique")</f>
        <v>Unique</v>
      </c>
    </row>
    <row r="51" spans="1:21" ht="29" x14ac:dyDescent="0.35">
      <c r="A51" s="16" t="s">
        <v>1274</v>
      </c>
      <c r="B51" t="s">
        <v>1295</v>
      </c>
      <c r="C51">
        <v>2023</v>
      </c>
      <c r="D51" t="s">
        <v>1296</v>
      </c>
      <c r="E51" t="s">
        <v>1129</v>
      </c>
      <c r="F51" s="4" t="s">
        <v>1297</v>
      </c>
      <c r="G51" t="s">
        <v>183</v>
      </c>
      <c r="H51" s="17" t="s">
        <v>1298</v>
      </c>
      <c r="I51" t="s">
        <v>226</v>
      </c>
      <c r="J51" t="s">
        <v>1280</v>
      </c>
      <c r="K51" t="s">
        <v>1280</v>
      </c>
      <c r="L51" t="s">
        <v>238</v>
      </c>
      <c r="M51" t="s">
        <v>275</v>
      </c>
      <c r="N51" t="s">
        <v>235</v>
      </c>
      <c r="O51" s="4" t="s">
        <v>1299</v>
      </c>
      <c r="P51" t="s">
        <v>572</v>
      </c>
      <c r="Q51" t="s">
        <v>569</v>
      </c>
      <c r="R51" s="4" t="s">
        <v>1300</v>
      </c>
      <c r="S51" s="4" t="str">
        <f t="shared" si="0"/>
        <v>§7</v>
      </c>
      <c r="T51" s="4"/>
      <c r="U51" s="4" t="str">
        <f>IF(COUNTIF('Survey 1 Papers'!$D:$D,D51)+COUNTIF('Survey 2 Papers'!$D:$D,D51)&gt;0,"Shared","Unique")</f>
        <v>Unique</v>
      </c>
    </row>
    <row r="52" spans="1:21" ht="29" x14ac:dyDescent="0.35">
      <c r="A52" s="16" t="s">
        <v>1274</v>
      </c>
      <c r="B52" t="s">
        <v>1301</v>
      </c>
      <c r="C52">
        <v>2021</v>
      </c>
      <c r="D52" t="s">
        <v>1302</v>
      </c>
      <c r="E52" t="s">
        <v>1303</v>
      </c>
      <c r="F52" s="4" t="s">
        <v>1304</v>
      </c>
      <c r="G52" t="s">
        <v>183</v>
      </c>
      <c r="H52" s="17" t="s">
        <v>1305</v>
      </c>
      <c r="I52" t="s">
        <v>227</v>
      </c>
      <c r="J52" t="s">
        <v>1280</v>
      </c>
      <c r="K52" t="s">
        <v>1280</v>
      </c>
      <c r="L52" t="s">
        <v>238</v>
      </c>
      <c r="M52" t="s">
        <v>275</v>
      </c>
      <c r="N52" t="s">
        <v>235</v>
      </c>
      <c r="O52" s="4" t="s">
        <v>1306</v>
      </c>
      <c r="P52" t="s">
        <v>572</v>
      </c>
      <c r="Q52" t="s">
        <v>569</v>
      </c>
      <c r="R52" s="4" t="s">
        <v>1307</v>
      </c>
      <c r="S52" s="4" t="str">
        <f t="shared" si="0"/>
        <v>§7</v>
      </c>
      <c r="T52" s="4"/>
      <c r="U52" s="4" t="str">
        <f>IF(COUNTIF('Survey 1 Papers'!$D:$D,D52)+COUNTIF('Survey 2 Papers'!$D:$D,D52)&gt;0,"Shared","Unique")</f>
        <v>Unique</v>
      </c>
    </row>
    <row r="53" spans="1:21" ht="29" x14ac:dyDescent="0.35">
      <c r="A53" s="16" t="s">
        <v>1274</v>
      </c>
      <c r="B53" t="s">
        <v>1308</v>
      </c>
      <c r="C53">
        <v>2018</v>
      </c>
      <c r="D53" t="s">
        <v>1309</v>
      </c>
      <c r="E53" t="s">
        <v>1310</v>
      </c>
      <c r="F53" s="4" t="s">
        <v>1311</v>
      </c>
      <c r="G53" t="s">
        <v>183</v>
      </c>
      <c r="H53" s="17" t="s">
        <v>1312</v>
      </c>
      <c r="I53" t="s">
        <v>227</v>
      </c>
      <c r="J53" t="s">
        <v>1280</v>
      </c>
      <c r="K53" t="s">
        <v>1280</v>
      </c>
      <c r="L53" t="s">
        <v>238</v>
      </c>
      <c r="M53" t="s">
        <v>272</v>
      </c>
      <c r="N53" t="s">
        <v>233</v>
      </c>
      <c r="O53" s="4" t="s">
        <v>1313</v>
      </c>
      <c r="P53" t="s">
        <v>572</v>
      </c>
      <c r="Q53" t="s">
        <v>569</v>
      </c>
      <c r="R53" s="4" t="s">
        <v>1314</v>
      </c>
      <c r="S53" s="4" t="str">
        <f>P53&amp;"; §2"&amp;IF(M53="High","; §14","")</f>
        <v>§7; §2</v>
      </c>
      <c r="T53" s="4"/>
      <c r="U53" s="4" t="str">
        <f>IF(COUNTIF('Survey 1 Papers'!$D:$D,D53)+COUNTIF('Survey 2 Papers'!$D:$D,D53)&gt;0,"Shared","Unique")</f>
        <v>Unique</v>
      </c>
    </row>
    <row r="54" spans="1:21" ht="29" x14ac:dyDescent="0.35">
      <c r="A54" s="16" t="s">
        <v>1274</v>
      </c>
      <c r="B54" t="s">
        <v>1651</v>
      </c>
      <c r="C54">
        <v>2017</v>
      </c>
      <c r="D54" t="s">
        <v>1652</v>
      </c>
      <c r="E54" t="s">
        <v>1225</v>
      </c>
      <c r="F54" s="4" t="s">
        <v>1653</v>
      </c>
      <c r="G54" t="s">
        <v>183</v>
      </c>
      <c r="H54" s="17" t="s">
        <v>1654</v>
      </c>
      <c r="I54" t="s">
        <v>226</v>
      </c>
      <c r="J54" t="s">
        <v>1280</v>
      </c>
      <c r="K54" t="s">
        <v>1191</v>
      </c>
      <c r="L54" t="s">
        <v>1057</v>
      </c>
      <c r="M54" t="s">
        <v>285</v>
      </c>
      <c r="N54" t="s">
        <v>235</v>
      </c>
      <c r="O54" s="4" t="s">
        <v>1655</v>
      </c>
      <c r="P54" t="s">
        <v>572</v>
      </c>
      <c r="Q54" t="s">
        <v>569</v>
      </c>
      <c r="R54" s="4" t="s">
        <v>1656</v>
      </c>
      <c r="S54" s="4" t="str">
        <f t="shared" si="0"/>
        <v>§7; §14</v>
      </c>
      <c r="T54" s="4"/>
      <c r="U54" s="4" t="str">
        <f>IF(COUNTIF('Survey 1 Papers'!$D:$D,D54)+COUNTIF('Survey 2 Papers'!$D:$D,D54)&gt;0,"Shared","Unique")</f>
        <v>Unique</v>
      </c>
    </row>
    <row r="55" spans="1:21" ht="29" x14ac:dyDescent="0.35">
      <c r="A55" s="16" t="s">
        <v>1274</v>
      </c>
      <c r="B55" t="s">
        <v>1657</v>
      </c>
      <c r="C55">
        <v>2021</v>
      </c>
      <c r="D55" t="s">
        <v>1658</v>
      </c>
      <c r="E55" t="s">
        <v>1303</v>
      </c>
      <c r="F55" s="4" t="s">
        <v>1659</v>
      </c>
      <c r="G55" t="s">
        <v>183</v>
      </c>
      <c r="H55" s="17" t="s">
        <v>1660</v>
      </c>
      <c r="I55" t="s">
        <v>227</v>
      </c>
      <c r="J55" t="s">
        <v>1280</v>
      </c>
      <c r="K55" t="s">
        <v>1280</v>
      </c>
      <c r="L55" t="s">
        <v>238</v>
      </c>
      <c r="M55" t="s">
        <v>275</v>
      </c>
      <c r="N55" t="s">
        <v>235</v>
      </c>
      <c r="O55" s="4" t="s">
        <v>1661</v>
      </c>
      <c r="P55" t="s">
        <v>572</v>
      </c>
      <c r="Q55" t="s">
        <v>569</v>
      </c>
      <c r="R55" s="4" t="s">
        <v>1662</v>
      </c>
      <c r="S55" s="4" t="str">
        <f t="shared" si="0"/>
        <v>§7</v>
      </c>
      <c r="T55" s="4"/>
      <c r="U55" s="4" t="str">
        <f>IF(COUNTIF('Survey 1 Papers'!$D:$D,D55)+COUNTIF('Survey 2 Papers'!$D:$D,D55)&gt;0,"Shared","Unique")</f>
        <v>Unique</v>
      </c>
    </row>
    <row r="56" spans="1:21" ht="29" x14ac:dyDescent="0.35">
      <c r="A56" s="16" t="s">
        <v>1274</v>
      </c>
      <c r="B56" t="s">
        <v>1663</v>
      </c>
      <c r="C56">
        <v>2019</v>
      </c>
      <c r="D56" t="s">
        <v>1664</v>
      </c>
      <c r="E56" t="s">
        <v>1217</v>
      </c>
      <c r="F56" s="4" t="s">
        <v>1665</v>
      </c>
      <c r="G56" t="s">
        <v>183</v>
      </c>
      <c r="H56" s="17" t="s">
        <v>1666</v>
      </c>
      <c r="I56" t="s">
        <v>227</v>
      </c>
      <c r="J56" t="s">
        <v>1280</v>
      </c>
      <c r="K56" t="s">
        <v>1280</v>
      </c>
      <c r="L56" t="s">
        <v>238</v>
      </c>
      <c r="M56" t="s">
        <v>275</v>
      </c>
      <c r="N56" t="s">
        <v>235</v>
      </c>
      <c r="O56" s="4" t="s">
        <v>1667</v>
      </c>
      <c r="P56" t="s">
        <v>572</v>
      </c>
      <c r="Q56" t="s">
        <v>569</v>
      </c>
      <c r="R56" s="4" t="s">
        <v>1668</v>
      </c>
      <c r="S56" s="4" t="str">
        <f t="shared" si="0"/>
        <v>§7</v>
      </c>
      <c r="T56" s="4"/>
      <c r="U56" s="4" t="str">
        <f>IF(COUNTIF('Survey 1 Papers'!$D:$D,D56)+COUNTIF('Survey 2 Papers'!$D:$D,D56)&gt;0,"Shared","Unique")</f>
        <v>Unique</v>
      </c>
    </row>
    <row r="57" spans="1:21" ht="29" x14ac:dyDescent="0.35">
      <c r="A57" s="16" t="s">
        <v>1315</v>
      </c>
      <c r="B57" t="s">
        <v>793</v>
      </c>
      <c r="C57">
        <v>2016</v>
      </c>
      <c r="D57" t="s">
        <v>1316</v>
      </c>
      <c r="E57" t="s">
        <v>795</v>
      </c>
      <c r="F57" s="4" t="s">
        <v>1317</v>
      </c>
      <c r="G57" t="s">
        <v>183</v>
      </c>
      <c r="H57" s="17" t="s">
        <v>796</v>
      </c>
      <c r="I57" t="s">
        <v>225</v>
      </c>
      <c r="J57" t="s">
        <v>1257</v>
      </c>
      <c r="K57" t="s">
        <v>1181</v>
      </c>
      <c r="L57" t="s">
        <v>1057</v>
      </c>
      <c r="M57" t="s">
        <v>285</v>
      </c>
      <c r="N57" t="s">
        <v>231</v>
      </c>
      <c r="O57" s="4" t="s">
        <v>1318</v>
      </c>
      <c r="P57" t="s">
        <v>571</v>
      </c>
      <c r="Q57" t="s">
        <v>569</v>
      </c>
      <c r="R57" s="4" t="s">
        <v>1319</v>
      </c>
      <c r="S57" s="4" t="str">
        <f>P57&amp;"; §2"&amp;IF(M57="High","; §14","")</f>
        <v>§5; §2; §14</v>
      </c>
      <c r="T57" s="4"/>
      <c r="U57" s="4" t="str">
        <f>IF(COUNTIF('Survey 1 Papers'!$D:$D,D57)+COUNTIF('Survey 2 Papers'!$D:$D,D57)&gt;0,"Shared","Unique")</f>
        <v>Unique</v>
      </c>
    </row>
    <row r="58" spans="1:21" ht="29" x14ac:dyDescent="0.35">
      <c r="A58" s="16" t="s">
        <v>1315</v>
      </c>
      <c r="B58" t="s">
        <v>1320</v>
      </c>
      <c r="C58">
        <v>2017</v>
      </c>
      <c r="D58" t="s">
        <v>1321</v>
      </c>
      <c r="E58" t="s">
        <v>1225</v>
      </c>
      <c r="F58" s="4" t="s">
        <v>1322</v>
      </c>
      <c r="G58" t="s">
        <v>183</v>
      </c>
      <c r="H58" s="17" t="s">
        <v>1323</v>
      </c>
      <c r="I58" t="s">
        <v>225</v>
      </c>
      <c r="J58" t="s">
        <v>1257</v>
      </c>
      <c r="K58" t="s">
        <v>1181</v>
      </c>
      <c r="L58" t="s">
        <v>1057</v>
      </c>
      <c r="M58" t="s">
        <v>285</v>
      </c>
      <c r="N58" t="s">
        <v>235</v>
      </c>
      <c r="O58" s="4" t="s">
        <v>1324</v>
      </c>
      <c r="P58" t="s">
        <v>571</v>
      </c>
      <c r="Q58" t="s">
        <v>569</v>
      </c>
      <c r="R58" s="4" t="s">
        <v>1325</v>
      </c>
      <c r="S58" s="4" t="str">
        <f>P58&amp;"; §2"&amp;IF(M58="High","; §14","")</f>
        <v>§5; §2; §14</v>
      </c>
      <c r="T58" s="4"/>
      <c r="U58" s="4" t="str">
        <f>IF(COUNTIF('Survey 1 Papers'!$D:$D,D58)+COUNTIF('Survey 2 Papers'!$D:$D,D58)&gt;0,"Shared","Unique")</f>
        <v>Unique</v>
      </c>
    </row>
    <row r="59" spans="1:21" ht="29" x14ac:dyDescent="0.35">
      <c r="A59" s="16" t="s">
        <v>1315</v>
      </c>
      <c r="B59" t="s">
        <v>789</v>
      </c>
      <c r="C59">
        <v>2017</v>
      </c>
      <c r="D59" t="s">
        <v>1326</v>
      </c>
      <c r="E59" t="s">
        <v>1225</v>
      </c>
      <c r="F59" s="4" t="s">
        <v>1327</v>
      </c>
      <c r="G59" t="s">
        <v>183</v>
      </c>
      <c r="H59" s="17" t="s">
        <v>792</v>
      </c>
      <c r="I59" t="s">
        <v>225</v>
      </c>
      <c r="J59" t="s">
        <v>1257</v>
      </c>
      <c r="K59" t="s">
        <v>1181</v>
      </c>
      <c r="L59" t="s">
        <v>1057</v>
      </c>
      <c r="M59" t="s">
        <v>285</v>
      </c>
      <c r="N59" t="s">
        <v>235</v>
      </c>
      <c r="O59" s="4" t="s">
        <v>1328</v>
      </c>
      <c r="P59" t="s">
        <v>571</v>
      </c>
      <c r="Q59" t="s">
        <v>569</v>
      </c>
      <c r="R59" s="4" t="s">
        <v>1329</v>
      </c>
      <c r="S59" s="4" t="str">
        <f t="shared" si="0"/>
        <v>§5; §14</v>
      </c>
      <c r="T59" s="4"/>
      <c r="U59" s="4" t="str">
        <f>IF(COUNTIF('Survey 1 Papers'!$D:$D,D59)+COUNTIF('Survey 2 Papers'!$D:$D,D59)&gt;0,"Shared","Unique")</f>
        <v>Unique</v>
      </c>
    </row>
    <row r="60" spans="1:21" ht="29" x14ac:dyDescent="0.35">
      <c r="A60" s="16" t="s">
        <v>1315</v>
      </c>
      <c r="B60" t="s">
        <v>1330</v>
      </c>
      <c r="C60">
        <v>2018</v>
      </c>
      <c r="D60" t="s">
        <v>1331</v>
      </c>
      <c r="E60" t="s">
        <v>1332</v>
      </c>
      <c r="F60" s="4" t="s">
        <v>1333</v>
      </c>
      <c r="G60" t="s">
        <v>183</v>
      </c>
      <c r="H60" s="17" t="s">
        <v>1334</v>
      </c>
      <c r="I60" t="s">
        <v>226</v>
      </c>
      <c r="J60" t="s">
        <v>1257</v>
      </c>
      <c r="K60" t="s">
        <v>1181</v>
      </c>
      <c r="L60" t="s">
        <v>1057</v>
      </c>
      <c r="M60" t="s">
        <v>285</v>
      </c>
      <c r="N60" t="s">
        <v>231</v>
      </c>
      <c r="O60" s="4" t="s">
        <v>1335</v>
      </c>
      <c r="P60" t="s">
        <v>571</v>
      </c>
      <c r="Q60" t="s">
        <v>569</v>
      </c>
      <c r="R60" s="4" t="s">
        <v>1336</v>
      </c>
      <c r="S60" s="4" t="str">
        <f t="shared" si="0"/>
        <v>§5; §14</v>
      </c>
      <c r="T60" s="4"/>
      <c r="U60" s="4" t="str">
        <f>IF(COUNTIF('Survey 1 Papers'!$D:$D,D60)+COUNTIF('Survey 2 Papers'!$D:$D,D60)&gt;0,"Shared","Unique")</f>
        <v>Unique</v>
      </c>
    </row>
    <row r="61" spans="1:21" ht="29" x14ac:dyDescent="0.35">
      <c r="A61" s="16" t="s">
        <v>1315</v>
      </c>
      <c r="B61" t="s">
        <v>1337</v>
      </c>
      <c r="C61">
        <v>2017</v>
      </c>
      <c r="D61" t="s">
        <v>1338</v>
      </c>
      <c r="E61" t="s">
        <v>1187</v>
      </c>
      <c r="F61" s="4" t="s">
        <v>1339</v>
      </c>
      <c r="G61" t="s">
        <v>183</v>
      </c>
      <c r="H61" s="17" t="s">
        <v>1340</v>
      </c>
      <c r="I61" t="s">
        <v>226</v>
      </c>
      <c r="J61" t="s">
        <v>1257</v>
      </c>
      <c r="K61" t="s">
        <v>1181</v>
      </c>
      <c r="L61" t="s">
        <v>1057</v>
      </c>
      <c r="M61" t="s">
        <v>285</v>
      </c>
      <c r="N61" t="s">
        <v>235</v>
      </c>
      <c r="O61" s="4" t="s">
        <v>1341</v>
      </c>
      <c r="P61" t="s">
        <v>571</v>
      </c>
      <c r="Q61" t="s">
        <v>569</v>
      </c>
      <c r="R61" s="4" t="s">
        <v>1342</v>
      </c>
      <c r="S61" s="4" t="str">
        <f t="shared" si="0"/>
        <v>§5; §14</v>
      </c>
      <c r="T61" s="4"/>
      <c r="U61" s="4" t="str">
        <f>IF(COUNTIF('Survey 1 Papers'!$D:$D,D61)+COUNTIF('Survey 2 Papers'!$D:$D,D61)&gt;0,"Shared","Unique")</f>
        <v>Unique</v>
      </c>
    </row>
    <row r="62" spans="1:21" ht="29" x14ac:dyDescent="0.35">
      <c r="A62" s="16" t="s">
        <v>1315</v>
      </c>
      <c r="B62" t="s">
        <v>1669</v>
      </c>
      <c r="C62">
        <v>2017</v>
      </c>
      <c r="D62" t="s">
        <v>1670</v>
      </c>
      <c r="E62" t="s">
        <v>1476</v>
      </c>
      <c r="F62" s="4" t="s">
        <v>1671</v>
      </c>
      <c r="G62" t="s">
        <v>183</v>
      </c>
      <c r="H62" s="17" t="s">
        <v>1672</v>
      </c>
      <c r="I62" t="s">
        <v>226</v>
      </c>
      <c r="J62" t="s">
        <v>1257</v>
      </c>
      <c r="K62" t="s">
        <v>1181</v>
      </c>
      <c r="L62" t="s">
        <v>1057</v>
      </c>
      <c r="M62" t="s">
        <v>285</v>
      </c>
      <c r="N62" t="s">
        <v>235</v>
      </c>
      <c r="O62" s="4" t="s">
        <v>1673</v>
      </c>
      <c r="P62" t="s">
        <v>571</v>
      </c>
      <c r="Q62" t="s">
        <v>569</v>
      </c>
      <c r="R62" s="4" t="s">
        <v>1674</v>
      </c>
      <c r="S62" s="4" t="str">
        <f t="shared" si="0"/>
        <v>§5; §14</v>
      </c>
      <c r="T62" s="4"/>
      <c r="U62" s="4" t="str">
        <f>IF(COUNTIF('Survey 1 Papers'!$D:$D,D62)+COUNTIF('Survey 2 Papers'!$D:$D,D62)&gt;0,"Shared","Unique")</f>
        <v>Unique</v>
      </c>
    </row>
    <row r="63" spans="1:21" ht="29" x14ac:dyDescent="0.35">
      <c r="A63" s="16" t="s">
        <v>1315</v>
      </c>
      <c r="B63" t="s">
        <v>1675</v>
      </c>
      <c r="C63">
        <v>2020</v>
      </c>
      <c r="D63" t="s">
        <v>1676</v>
      </c>
      <c r="E63" t="s">
        <v>1646</v>
      </c>
      <c r="F63" s="4" t="s">
        <v>1677</v>
      </c>
      <c r="G63" t="s">
        <v>183</v>
      </c>
      <c r="H63" s="17" t="s">
        <v>1678</v>
      </c>
      <c r="I63" t="s">
        <v>226</v>
      </c>
      <c r="J63" t="s">
        <v>1257</v>
      </c>
      <c r="K63" t="s">
        <v>1181</v>
      </c>
      <c r="L63" t="s">
        <v>1057</v>
      </c>
      <c r="M63" t="s">
        <v>285</v>
      </c>
      <c r="N63" t="s">
        <v>231</v>
      </c>
      <c r="O63" s="4" t="s">
        <v>1679</v>
      </c>
      <c r="P63" t="s">
        <v>571</v>
      </c>
      <c r="Q63" t="s">
        <v>569</v>
      </c>
      <c r="R63" s="4" t="s">
        <v>1680</v>
      </c>
      <c r="S63" s="4" t="str">
        <f t="shared" si="0"/>
        <v>§5; §14</v>
      </c>
      <c r="T63" s="4"/>
      <c r="U63" s="4" t="str">
        <f>IF(COUNTIF('Survey 1 Papers'!$D:$D,D63)+COUNTIF('Survey 2 Papers'!$D:$D,D63)&gt;0,"Shared","Unique")</f>
        <v>Unique</v>
      </c>
    </row>
    <row r="64" spans="1:21" ht="43.5" x14ac:dyDescent="0.35">
      <c r="A64" s="16" t="s">
        <v>1315</v>
      </c>
      <c r="B64" t="s">
        <v>1681</v>
      </c>
      <c r="C64">
        <v>2018</v>
      </c>
      <c r="D64" t="s">
        <v>1682</v>
      </c>
      <c r="E64" t="s">
        <v>1683</v>
      </c>
      <c r="F64" s="4" t="s">
        <v>1684</v>
      </c>
      <c r="G64" t="s">
        <v>183</v>
      </c>
      <c r="H64" s="17" t="s">
        <v>1685</v>
      </c>
      <c r="I64" t="s">
        <v>225</v>
      </c>
      <c r="J64" t="s">
        <v>1257</v>
      </c>
      <c r="K64" t="s">
        <v>1181</v>
      </c>
      <c r="L64" t="s">
        <v>1057</v>
      </c>
      <c r="M64" t="s">
        <v>285</v>
      </c>
      <c r="N64" t="s">
        <v>235</v>
      </c>
      <c r="O64" s="4" t="s">
        <v>1686</v>
      </c>
      <c r="P64" t="s">
        <v>1420</v>
      </c>
      <c r="Q64" t="s">
        <v>569</v>
      </c>
      <c r="R64" s="4" t="s">
        <v>1687</v>
      </c>
      <c r="S64" s="4" t="str">
        <f t="shared" si="0"/>
        <v>§10; §14</v>
      </c>
      <c r="T64" s="4"/>
      <c r="U64" s="4" t="str">
        <f>IF(COUNTIF('Survey 1 Papers'!$D:$D,D64)+COUNTIF('Survey 2 Papers'!$D:$D,D64)&gt;0,"Shared","Unique")</f>
        <v>Unique</v>
      </c>
    </row>
    <row r="65" spans="1:21" ht="29" x14ac:dyDescent="0.35">
      <c r="A65" s="16" t="s">
        <v>1315</v>
      </c>
      <c r="B65" t="s">
        <v>1688</v>
      </c>
      <c r="C65">
        <v>2023</v>
      </c>
      <c r="D65" t="s">
        <v>1689</v>
      </c>
      <c r="E65" t="s">
        <v>1690</v>
      </c>
      <c r="F65" s="4" t="s">
        <v>1691</v>
      </c>
      <c r="G65" t="s">
        <v>183</v>
      </c>
      <c r="H65" s="17" t="s">
        <v>1692</v>
      </c>
      <c r="I65" t="s">
        <v>227</v>
      </c>
      <c r="J65" t="s">
        <v>1257</v>
      </c>
      <c r="K65" t="s">
        <v>1181</v>
      </c>
      <c r="L65" t="s">
        <v>238</v>
      </c>
      <c r="M65" t="s">
        <v>275</v>
      </c>
      <c r="N65" t="s">
        <v>233</v>
      </c>
      <c r="O65" s="4" t="s">
        <v>1693</v>
      </c>
      <c r="P65" t="s">
        <v>571</v>
      </c>
      <c r="Q65" t="s">
        <v>569</v>
      </c>
      <c r="R65" s="4" t="s">
        <v>1694</v>
      </c>
      <c r="S65" s="4" t="str">
        <f>P65&amp;"; §2"&amp;IF(M65="High","; §14","")</f>
        <v>§5; §2</v>
      </c>
      <c r="T65" s="4"/>
      <c r="U65" s="4" t="str">
        <f>IF(COUNTIF('Survey 1 Papers'!$D:$D,D65)+COUNTIF('Survey 2 Papers'!$D:$D,D65)&gt;0,"Shared","Unique")</f>
        <v>Unique</v>
      </c>
    </row>
    <row r="66" spans="1:21" ht="29" x14ac:dyDescent="0.35">
      <c r="A66" s="16" t="s">
        <v>1343</v>
      </c>
      <c r="B66" t="s">
        <v>1344</v>
      </c>
      <c r="C66">
        <v>2015</v>
      </c>
      <c r="D66" t="s">
        <v>1345</v>
      </c>
      <c r="E66" t="s">
        <v>1346</v>
      </c>
      <c r="F66" s="4" t="s">
        <v>1347</v>
      </c>
      <c r="G66" t="s">
        <v>1348</v>
      </c>
      <c r="H66" s="17" t="s">
        <v>1349</v>
      </c>
      <c r="I66" t="s">
        <v>225</v>
      </c>
      <c r="J66" t="s">
        <v>1350</v>
      </c>
      <c r="K66" t="s">
        <v>1351</v>
      </c>
      <c r="L66" t="s">
        <v>1057</v>
      </c>
      <c r="M66" t="s">
        <v>285</v>
      </c>
      <c r="N66" t="s">
        <v>235</v>
      </c>
      <c r="O66" s="4" t="s">
        <v>1352</v>
      </c>
      <c r="P66" t="s">
        <v>575</v>
      </c>
      <c r="Q66" t="s">
        <v>569</v>
      </c>
      <c r="R66" s="4" t="s">
        <v>1353</v>
      </c>
      <c r="S66" s="4" t="str">
        <f>P66&amp;"; §2"&amp;IF(M66="High","; §14","")</f>
        <v>§8; §2; §14</v>
      </c>
      <c r="T66" s="4"/>
      <c r="U66" s="4" t="str">
        <f>IF(COUNTIF('Survey 1 Papers'!$D:$D,D66)+COUNTIF('Survey 2 Papers'!$D:$D,D66)&gt;0,"Shared","Unique")</f>
        <v>Unique</v>
      </c>
    </row>
    <row r="67" spans="1:21" ht="29" x14ac:dyDescent="0.35">
      <c r="A67" s="16" t="s">
        <v>1343</v>
      </c>
      <c r="B67" t="s">
        <v>1354</v>
      </c>
      <c r="C67">
        <v>2006</v>
      </c>
      <c r="D67" t="s">
        <v>1355</v>
      </c>
      <c r="E67" t="s">
        <v>1356</v>
      </c>
      <c r="F67" s="4" t="s">
        <v>1357</v>
      </c>
      <c r="G67" t="s">
        <v>819</v>
      </c>
      <c r="H67" s="17" t="s">
        <v>1358</v>
      </c>
      <c r="I67" t="s">
        <v>227</v>
      </c>
      <c r="J67" t="s">
        <v>1350</v>
      </c>
      <c r="K67" t="s">
        <v>1351</v>
      </c>
      <c r="L67" t="s">
        <v>238</v>
      </c>
      <c r="M67" t="s">
        <v>275</v>
      </c>
      <c r="N67" t="s">
        <v>235</v>
      </c>
      <c r="O67" s="4" t="s">
        <v>1359</v>
      </c>
      <c r="P67" t="s">
        <v>575</v>
      </c>
      <c r="Q67" t="s">
        <v>569</v>
      </c>
      <c r="R67" s="4" t="s">
        <v>1360</v>
      </c>
      <c r="S67" s="4" t="str">
        <f t="shared" ref="S67:S109" si="1">P67&amp;IF(M67="High","; §14","")</f>
        <v>§8</v>
      </c>
      <c r="T67" s="4"/>
      <c r="U67" s="4" t="str">
        <f>IF(COUNTIF('Survey 1 Papers'!$D:$D,D67)+COUNTIF('Survey 2 Papers'!$D:$D,D67)&gt;0,"Shared","Unique")</f>
        <v>Unique</v>
      </c>
    </row>
    <row r="68" spans="1:21" ht="43.5" x14ac:dyDescent="0.35">
      <c r="A68" s="16" t="s">
        <v>1343</v>
      </c>
      <c r="B68" t="s">
        <v>1361</v>
      </c>
      <c r="C68">
        <v>2018</v>
      </c>
      <c r="D68" t="s">
        <v>1362</v>
      </c>
      <c r="E68" t="s">
        <v>1363</v>
      </c>
      <c r="F68" s="4" t="s">
        <v>1364</v>
      </c>
      <c r="G68" t="s">
        <v>183</v>
      </c>
      <c r="H68" s="17" t="s">
        <v>1365</v>
      </c>
      <c r="I68" t="s">
        <v>225</v>
      </c>
      <c r="J68" t="s">
        <v>1350</v>
      </c>
      <c r="K68" t="s">
        <v>1191</v>
      </c>
      <c r="L68" t="s">
        <v>1057</v>
      </c>
      <c r="M68" t="s">
        <v>285</v>
      </c>
      <c r="N68" t="s">
        <v>235</v>
      </c>
      <c r="O68" s="4" t="s">
        <v>1366</v>
      </c>
      <c r="P68" t="s">
        <v>575</v>
      </c>
      <c r="Q68" t="s">
        <v>569</v>
      </c>
      <c r="R68" s="4" t="s">
        <v>1367</v>
      </c>
      <c r="S68" s="4" t="str">
        <f>P68&amp;"; §2"&amp;IF(M68="High","; §14","")</f>
        <v>§8; §2; §14</v>
      </c>
      <c r="T68" s="4"/>
      <c r="U68" s="4" t="str">
        <f>IF(COUNTIF('Survey 1 Papers'!$D:$D,D68)+COUNTIF('Survey 2 Papers'!$D:$D,D68)&gt;0,"Shared","Unique")</f>
        <v>Unique</v>
      </c>
    </row>
    <row r="69" spans="1:21" ht="29" x14ac:dyDescent="0.35">
      <c r="A69" s="16" t="s">
        <v>1343</v>
      </c>
      <c r="B69" t="s">
        <v>1368</v>
      </c>
      <c r="C69">
        <v>2021</v>
      </c>
      <c r="D69" t="s">
        <v>1369</v>
      </c>
      <c r="E69" t="s">
        <v>1370</v>
      </c>
      <c r="F69" s="4" t="s">
        <v>1371</v>
      </c>
      <c r="G69" t="s">
        <v>183</v>
      </c>
      <c r="H69" s="17" t="s">
        <v>1372</v>
      </c>
      <c r="I69" t="s">
        <v>227</v>
      </c>
      <c r="J69" t="s">
        <v>1350</v>
      </c>
      <c r="K69" t="s">
        <v>1351</v>
      </c>
      <c r="L69" t="s">
        <v>238</v>
      </c>
      <c r="M69" t="s">
        <v>275</v>
      </c>
      <c r="N69" t="s">
        <v>233</v>
      </c>
      <c r="O69" s="4" t="s">
        <v>1373</v>
      </c>
      <c r="P69" t="s">
        <v>575</v>
      </c>
      <c r="Q69" t="s">
        <v>569</v>
      </c>
      <c r="R69" s="4" t="s">
        <v>1374</v>
      </c>
      <c r="S69" s="4" t="str">
        <f t="shared" si="1"/>
        <v>§8</v>
      </c>
      <c r="T69" s="4"/>
      <c r="U69" s="4" t="str">
        <f>IF(COUNTIF('Survey 1 Papers'!$D:$D,D69)+COUNTIF('Survey 2 Papers'!$D:$D,D69)&gt;0,"Shared","Unique")</f>
        <v>Unique</v>
      </c>
    </row>
    <row r="70" spans="1:21" ht="43.5" x14ac:dyDescent="0.35">
      <c r="A70" s="16" t="s">
        <v>1343</v>
      </c>
      <c r="B70" t="s">
        <v>1695</v>
      </c>
      <c r="C70">
        <v>2021</v>
      </c>
      <c r="D70" t="s">
        <v>1696</v>
      </c>
      <c r="E70" t="s">
        <v>1697</v>
      </c>
      <c r="F70" s="4" t="s">
        <v>1698</v>
      </c>
      <c r="G70" t="s">
        <v>183</v>
      </c>
      <c r="H70" s="17" t="s">
        <v>1699</v>
      </c>
      <c r="I70" t="s">
        <v>225</v>
      </c>
      <c r="J70" t="s">
        <v>1350</v>
      </c>
      <c r="K70" t="s">
        <v>1351</v>
      </c>
      <c r="L70" t="s">
        <v>1057</v>
      </c>
      <c r="M70" t="s">
        <v>285</v>
      </c>
      <c r="N70" t="s">
        <v>235</v>
      </c>
      <c r="O70" s="4" t="s">
        <v>1700</v>
      </c>
      <c r="P70" t="s">
        <v>575</v>
      </c>
      <c r="Q70" t="s">
        <v>569</v>
      </c>
      <c r="R70" s="4" t="s">
        <v>1701</v>
      </c>
      <c r="S70" s="4" t="str">
        <f t="shared" si="1"/>
        <v>§8; §14</v>
      </c>
      <c r="T70" s="4"/>
      <c r="U70" s="4" t="str">
        <f>IF(COUNTIF('Survey 1 Papers'!$D:$D,D70)+COUNTIF('Survey 2 Papers'!$D:$D,D70)&gt;0,"Shared","Unique")</f>
        <v>Unique</v>
      </c>
    </row>
    <row r="71" spans="1:21" ht="29" x14ac:dyDescent="0.35">
      <c r="A71" s="16" t="s">
        <v>1343</v>
      </c>
      <c r="B71" t="s">
        <v>1702</v>
      </c>
      <c r="C71">
        <v>2017</v>
      </c>
      <c r="D71" t="s">
        <v>1703</v>
      </c>
      <c r="E71" t="s">
        <v>1704</v>
      </c>
      <c r="F71" s="4" t="s">
        <v>1705</v>
      </c>
      <c r="G71" t="s">
        <v>183</v>
      </c>
      <c r="H71" s="17" t="s">
        <v>1706</v>
      </c>
      <c r="I71" t="s">
        <v>227</v>
      </c>
      <c r="J71" t="s">
        <v>1350</v>
      </c>
      <c r="K71" t="s">
        <v>1351</v>
      </c>
      <c r="L71" t="s">
        <v>238</v>
      </c>
      <c r="M71" t="s">
        <v>275</v>
      </c>
      <c r="N71" t="s">
        <v>235</v>
      </c>
      <c r="O71" s="4" t="s">
        <v>1707</v>
      </c>
      <c r="P71" t="s">
        <v>575</v>
      </c>
      <c r="Q71" t="s">
        <v>569</v>
      </c>
      <c r="R71" s="4" t="s">
        <v>1708</v>
      </c>
      <c r="S71" s="4" t="str">
        <f t="shared" si="1"/>
        <v>§8</v>
      </c>
      <c r="T71" s="4"/>
      <c r="U71" s="4" t="str">
        <f>IF(COUNTIF('Survey 1 Papers'!$D:$D,D71)+COUNTIF('Survey 2 Papers'!$D:$D,D71)&gt;0,"Shared","Unique")</f>
        <v>Unique</v>
      </c>
    </row>
    <row r="72" spans="1:21" ht="29" x14ac:dyDescent="0.35">
      <c r="A72" s="16" t="s">
        <v>1375</v>
      </c>
      <c r="B72" t="s">
        <v>1376</v>
      </c>
      <c r="C72">
        <v>2021</v>
      </c>
      <c r="D72" t="s">
        <v>1377</v>
      </c>
      <c r="E72" t="s">
        <v>1378</v>
      </c>
      <c r="F72" s="4" t="s">
        <v>1379</v>
      </c>
      <c r="G72" t="s">
        <v>183</v>
      </c>
      <c r="H72" s="17" t="s">
        <v>1380</v>
      </c>
      <c r="I72" t="s">
        <v>225</v>
      </c>
      <c r="J72" t="s">
        <v>1145</v>
      </c>
      <c r="K72" t="s">
        <v>1381</v>
      </c>
      <c r="L72" t="s">
        <v>1057</v>
      </c>
      <c r="M72" t="s">
        <v>285</v>
      </c>
      <c r="N72" t="s">
        <v>231</v>
      </c>
      <c r="O72" s="4" t="s">
        <v>1382</v>
      </c>
      <c r="P72" t="s">
        <v>1383</v>
      </c>
      <c r="Q72" t="s">
        <v>569</v>
      </c>
      <c r="R72" s="4" t="s">
        <v>1384</v>
      </c>
      <c r="S72" s="4" t="str">
        <f t="shared" si="1"/>
        <v>§11; §14</v>
      </c>
      <c r="T72" s="4"/>
      <c r="U72" s="4" t="str">
        <f>IF(COUNTIF('Survey 1 Papers'!$D:$D,D72)+COUNTIF('Survey 2 Papers'!$D:$D,D72)&gt;0,"Shared","Unique")</f>
        <v>Unique</v>
      </c>
    </row>
    <row r="73" spans="1:21" ht="29" x14ac:dyDescent="0.35">
      <c r="A73" s="16" t="s">
        <v>1375</v>
      </c>
      <c r="B73" t="s">
        <v>1385</v>
      </c>
      <c r="C73">
        <v>2023</v>
      </c>
      <c r="D73" t="s">
        <v>1386</v>
      </c>
      <c r="E73" t="s">
        <v>1089</v>
      </c>
      <c r="F73" s="4" t="s">
        <v>1387</v>
      </c>
      <c r="G73" t="s">
        <v>183</v>
      </c>
      <c r="H73" s="17" t="s">
        <v>1388</v>
      </c>
      <c r="I73" t="s">
        <v>225</v>
      </c>
      <c r="J73" t="s">
        <v>1145</v>
      </c>
      <c r="K73" t="s">
        <v>1381</v>
      </c>
      <c r="L73" t="s">
        <v>1057</v>
      </c>
      <c r="M73" t="s">
        <v>285</v>
      </c>
      <c r="N73" t="s">
        <v>235</v>
      </c>
      <c r="O73" s="4" t="s">
        <v>1389</v>
      </c>
      <c r="P73" t="s">
        <v>1383</v>
      </c>
      <c r="Q73" t="s">
        <v>569</v>
      </c>
      <c r="R73" s="4" t="s">
        <v>1390</v>
      </c>
      <c r="S73" s="4" t="str">
        <f t="shared" si="1"/>
        <v>§11; §14</v>
      </c>
      <c r="T73" s="4"/>
      <c r="U73" s="4" t="str">
        <f>IF(COUNTIF('Survey 1 Papers'!$D:$D,D73)+COUNTIF('Survey 2 Papers'!$D:$D,D73)&gt;0,"Shared","Unique")</f>
        <v>Unique</v>
      </c>
    </row>
    <row r="74" spans="1:21" ht="29" x14ac:dyDescent="0.35">
      <c r="A74" s="16" t="s">
        <v>1375</v>
      </c>
      <c r="B74" t="s">
        <v>1391</v>
      </c>
      <c r="C74">
        <v>2019</v>
      </c>
      <c r="D74" t="s">
        <v>1392</v>
      </c>
      <c r="E74" t="s">
        <v>1393</v>
      </c>
      <c r="F74" s="4" t="s">
        <v>1394</v>
      </c>
      <c r="G74" t="s">
        <v>183</v>
      </c>
      <c r="H74" s="17" t="s">
        <v>1395</v>
      </c>
      <c r="I74" t="s">
        <v>227</v>
      </c>
      <c r="J74" t="s">
        <v>1145</v>
      </c>
      <c r="K74" t="s">
        <v>1381</v>
      </c>
      <c r="L74" t="s">
        <v>238</v>
      </c>
      <c r="M74" t="s">
        <v>275</v>
      </c>
      <c r="N74" t="s">
        <v>231</v>
      </c>
      <c r="O74" s="4" t="s">
        <v>1396</v>
      </c>
      <c r="P74" t="s">
        <v>1383</v>
      </c>
      <c r="Q74" t="s">
        <v>569</v>
      </c>
      <c r="R74" s="4" t="s">
        <v>1397</v>
      </c>
      <c r="S74" s="4" t="str">
        <f t="shared" si="1"/>
        <v>§11</v>
      </c>
      <c r="T74" s="4"/>
      <c r="U74" s="4" t="str">
        <f>IF(COUNTIF('Survey 1 Papers'!$D:$D,D74)+COUNTIF('Survey 2 Papers'!$D:$D,D74)&gt;0,"Shared","Unique")</f>
        <v>Unique</v>
      </c>
    </row>
    <row r="75" spans="1:21" ht="29" x14ac:dyDescent="0.35">
      <c r="A75" s="16" t="s">
        <v>1375</v>
      </c>
      <c r="B75" t="s">
        <v>1398</v>
      </c>
      <c r="C75">
        <v>2021</v>
      </c>
      <c r="D75" t="s">
        <v>1399</v>
      </c>
      <c r="E75" t="s">
        <v>1400</v>
      </c>
      <c r="F75" s="4" t="s">
        <v>1401</v>
      </c>
      <c r="G75" t="s">
        <v>183</v>
      </c>
      <c r="H75" s="17" t="s">
        <v>1402</v>
      </c>
      <c r="I75" t="s">
        <v>227</v>
      </c>
      <c r="J75" t="s">
        <v>1145</v>
      </c>
      <c r="K75" t="s">
        <v>1381</v>
      </c>
      <c r="L75" t="s">
        <v>238</v>
      </c>
      <c r="M75" t="s">
        <v>272</v>
      </c>
      <c r="N75" t="s">
        <v>231</v>
      </c>
      <c r="O75" s="4" t="s">
        <v>1403</v>
      </c>
      <c r="P75" t="s">
        <v>1383</v>
      </c>
      <c r="Q75" t="s">
        <v>569</v>
      </c>
      <c r="R75" s="4" t="s">
        <v>1404</v>
      </c>
      <c r="S75" s="4" t="str">
        <f t="shared" si="1"/>
        <v>§11</v>
      </c>
      <c r="T75" s="4"/>
      <c r="U75" s="4" t="str">
        <f>IF(COUNTIF('Survey 1 Papers'!$D:$D,D75)+COUNTIF('Survey 2 Papers'!$D:$D,D75)&gt;0,"Shared","Unique")</f>
        <v>Unique</v>
      </c>
    </row>
    <row r="76" spans="1:21" ht="29" x14ac:dyDescent="0.35">
      <c r="A76" s="16" t="s">
        <v>1375</v>
      </c>
      <c r="B76" t="s">
        <v>1405</v>
      </c>
      <c r="C76">
        <v>2022</v>
      </c>
      <c r="D76" t="s">
        <v>1406</v>
      </c>
      <c r="E76" t="s">
        <v>1407</v>
      </c>
      <c r="F76" s="4" t="s">
        <v>1408</v>
      </c>
      <c r="G76" t="s">
        <v>183</v>
      </c>
      <c r="H76" s="17" t="s">
        <v>1409</v>
      </c>
      <c r="I76" t="s">
        <v>226</v>
      </c>
      <c r="J76" t="s">
        <v>1145</v>
      </c>
      <c r="K76" t="s">
        <v>1381</v>
      </c>
      <c r="L76" t="s">
        <v>1057</v>
      </c>
      <c r="M76" t="s">
        <v>285</v>
      </c>
      <c r="N76" t="s">
        <v>235</v>
      </c>
      <c r="O76" s="4" t="s">
        <v>1410</v>
      </c>
      <c r="P76" t="s">
        <v>1383</v>
      </c>
      <c r="Q76" t="s">
        <v>569</v>
      </c>
      <c r="R76" s="4" t="s">
        <v>1411</v>
      </c>
      <c r="S76" s="4" t="str">
        <f t="shared" si="1"/>
        <v>§11; §14</v>
      </c>
      <c r="T76" s="4"/>
      <c r="U76" s="4" t="str">
        <f>IF(COUNTIF('Survey 1 Papers'!$D:$D,D76)+COUNTIF('Survey 2 Papers'!$D:$D,D76)&gt;0,"Shared","Unique")</f>
        <v>Unique</v>
      </c>
    </row>
    <row r="77" spans="1:21" ht="43.5" x14ac:dyDescent="0.35">
      <c r="A77" s="16" t="s">
        <v>1375</v>
      </c>
      <c r="B77" t="s">
        <v>1709</v>
      </c>
      <c r="C77">
        <v>2020</v>
      </c>
      <c r="D77" t="s">
        <v>1710</v>
      </c>
      <c r="E77" t="s">
        <v>1646</v>
      </c>
      <c r="F77" s="4" t="s">
        <v>1711</v>
      </c>
      <c r="G77" t="s">
        <v>183</v>
      </c>
      <c r="H77" s="17" t="s">
        <v>1712</v>
      </c>
      <c r="I77" t="s">
        <v>226</v>
      </c>
      <c r="J77" t="s">
        <v>1145</v>
      </c>
      <c r="K77" t="s">
        <v>1381</v>
      </c>
      <c r="L77" t="s">
        <v>1057</v>
      </c>
      <c r="M77" t="s">
        <v>285</v>
      </c>
      <c r="N77" t="s">
        <v>235</v>
      </c>
      <c r="O77" s="4" t="s">
        <v>1713</v>
      </c>
      <c r="P77" t="s">
        <v>1383</v>
      </c>
      <c r="Q77" t="s">
        <v>569</v>
      </c>
      <c r="R77" s="4" t="s">
        <v>1714</v>
      </c>
      <c r="S77" s="4" t="str">
        <f t="shared" si="1"/>
        <v>§11; §14</v>
      </c>
      <c r="T77" s="4"/>
      <c r="U77" s="4" t="str">
        <f>IF(COUNTIF('Survey 1 Papers'!$D:$D,D77)+COUNTIF('Survey 2 Papers'!$D:$D,D77)&gt;0,"Shared","Unique")</f>
        <v>Unique</v>
      </c>
    </row>
    <row r="78" spans="1:21" ht="29" x14ac:dyDescent="0.35">
      <c r="A78" s="16" t="s">
        <v>1375</v>
      </c>
      <c r="B78" t="s">
        <v>1715</v>
      </c>
      <c r="C78">
        <v>2020</v>
      </c>
      <c r="D78" t="s">
        <v>1716</v>
      </c>
      <c r="E78" t="s">
        <v>1646</v>
      </c>
      <c r="F78" s="4" t="s">
        <v>1717</v>
      </c>
      <c r="G78" t="s">
        <v>183</v>
      </c>
      <c r="H78" s="17" t="s">
        <v>1718</v>
      </c>
      <c r="I78" t="s">
        <v>227</v>
      </c>
      <c r="J78" t="s">
        <v>1145</v>
      </c>
      <c r="K78" t="s">
        <v>1381</v>
      </c>
      <c r="L78" t="s">
        <v>238</v>
      </c>
      <c r="M78" t="s">
        <v>275</v>
      </c>
      <c r="N78" t="s">
        <v>235</v>
      </c>
      <c r="O78" s="4" t="s">
        <v>1719</v>
      </c>
      <c r="P78" t="s">
        <v>1383</v>
      </c>
      <c r="Q78" t="s">
        <v>569</v>
      </c>
      <c r="R78" s="4" t="s">
        <v>1720</v>
      </c>
      <c r="S78" s="4" t="str">
        <f t="shared" si="1"/>
        <v>§11</v>
      </c>
      <c r="T78" s="4"/>
      <c r="U78" s="4" t="str">
        <f>IF(COUNTIF('Survey 1 Papers'!$D:$D,D78)+COUNTIF('Survey 2 Papers'!$D:$D,D78)&gt;0,"Shared","Unique")</f>
        <v>Unique</v>
      </c>
    </row>
    <row r="79" spans="1:21" ht="43.5" x14ac:dyDescent="0.35">
      <c r="A79" s="16" t="s">
        <v>1375</v>
      </c>
      <c r="B79" t="s">
        <v>1721</v>
      </c>
      <c r="C79">
        <v>2022</v>
      </c>
      <c r="D79" t="s">
        <v>1722</v>
      </c>
      <c r="E79" t="s">
        <v>1407</v>
      </c>
      <c r="F79" s="4" t="s">
        <v>1723</v>
      </c>
      <c r="G79" t="s">
        <v>183</v>
      </c>
      <c r="H79" s="17" t="s">
        <v>1724</v>
      </c>
      <c r="I79" t="s">
        <v>227</v>
      </c>
      <c r="J79" t="s">
        <v>1145</v>
      </c>
      <c r="K79" t="s">
        <v>1381</v>
      </c>
      <c r="L79" t="s">
        <v>238</v>
      </c>
      <c r="M79" t="s">
        <v>275</v>
      </c>
      <c r="N79" t="s">
        <v>235</v>
      </c>
      <c r="O79" s="4" t="s">
        <v>1725</v>
      </c>
      <c r="P79" t="s">
        <v>1383</v>
      </c>
      <c r="Q79" t="s">
        <v>569</v>
      </c>
      <c r="R79" s="4" t="s">
        <v>1726</v>
      </c>
      <c r="S79" s="4" t="str">
        <f t="shared" si="1"/>
        <v>§11</v>
      </c>
      <c r="T79" s="4"/>
      <c r="U79" s="4" t="str">
        <f>IF(COUNTIF('Survey 1 Papers'!$D:$D,D79)+COUNTIF('Survey 2 Papers'!$D:$D,D79)&gt;0,"Shared","Unique")</f>
        <v>Unique</v>
      </c>
    </row>
    <row r="80" spans="1:21" ht="29" x14ac:dyDescent="0.35">
      <c r="A80" s="16" t="s">
        <v>1412</v>
      </c>
      <c r="B80" t="s">
        <v>1413</v>
      </c>
      <c r="C80">
        <v>2017</v>
      </c>
      <c r="D80" t="s">
        <v>1414</v>
      </c>
      <c r="E80" t="s">
        <v>1415</v>
      </c>
      <c r="F80" s="4" t="s">
        <v>1416</v>
      </c>
      <c r="G80" t="s">
        <v>183</v>
      </c>
      <c r="H80" s="17" t="s">
        <v>1417</v>
      </c>
      <c r="I80" t="s">
        <v>226</v>
      </c>
      <c r="J80" t="s">
        <v>1257</v>
      </c>
      <c r="K80" t="s">
        <v>1418</v>
      </c>
      <c r="L80" t="s">
        <v>1057</v>
      </c>
      <c r="M80" t="s">
        <v>285</v>
      </c>
      <c r="N80" t="s">
        <v>231</v>
      </c>
      <c r="O80" s="4" t="s">
        <v>1419</v>
      </c>
      <c r="P80" t="s">
        <v>1420</v>
      </c>
      <c r="Q80" t="s">
        <v>569</v>
      </c>
      <c r="R80" s="4" t="s">
        <v>1421</v>
      </c>
      <c r="S80" s="4" t="str">
        <f t="shared" si="1"/>
        <v>§10; §14</v>
      </c>
      <c r="T80" s="4"/>
      <c r="U80" s="4" t="str">
        <f>IF(COUNTIF('Survey 1 Papers'!$D:$D,D80)+COUNTIF('Survey 2 Papers'!$D:$D,D80)&gt;0,"Shared","Unique")</f>
        <v>Unique</v>
      </c>
    </row>
    <row r="81" spans="1:21" ht="29" x14ac:dyDescent="0.35">
      <c r="A81" s="16" t="s">
        <v>1412</v>
      </c>
      <c r="B81" t="s">
        <v>1422</v>
      </c>
      <c r="C81">
        <v>2021</v>
      </c>
      <c r="D81" t="s">
        <v>1423</v>
      </c>
      <c r="E81" t="s">
        <v>1424</v>
      </c>
      <c r="F81" s="4" t="s">
        <v>1425</v>
      </c>
      <c r="G81" t="s">
        <v>183</v>
      </c>
      <c r="H81" s="17" t="s">
        <v>1426</v>
      </c>
      <c r="I81" t="s">
        <v>227</v>
      </c>
      <c r="J81" t="s">
        <v>1257</v>
      </c>
      <c r="K81" t="s">
        <v>1418</v>
      </c>
      <c r="L81" t="s">
        <v>238</v>
      </c>
      <c r="M81" t="s">
        <v>275</v>
      </c>
      <c r="N81" t="s">
        <v>233</v>
      </c>
      <c r="O81" s="4" t="s">
        <v>1427</v>
      </c>
      <c r="P81" t="s">
        <v>1420</v>
      </c>
      <c r="Q81" t="s">
        <v>569</v>
      </c>
      <c r="R81" s="4" t="s">
        <v>1428</v>
      </c>
      <c r="S81" s="4" t="str">
        <f t="shared" si="1"/>
        <v>§10</v>
      </c>
      <c r="T81" s="4"/>
      <c r="U81" s="4" t="str">
        <f>IF(COUNTIF('Survey 1 Papers'!$D:$D,D81)+COUNTIF('Survey 2 Papers'!$D:$D,D81)&gt;0,"Shared","Unique")</f>
        <v>Unique</v>
      </c>
    </row>
    <row r="82" spans="1:21" ht="29" x14ac:dyDescent="0.35">
      <c r="A82" s="16" t="s">
        <v>1412</v>
      </c>
      <c r="B82" t="s">
        <v>1429</v>
      </c>
      <c r="C82">
        <v>2021</v>
      </c>
      <c r="D82" t="s">
        <v>1430</v>
      </c>
      <c r="E82" t="s">
        <v>1431</v>
      </c>
      <c r="F82" s="4" t="s">
        <v>1432</v>
      </c>
      <c r="G82" t="s">
        <v>183</v>
      </c>
      <c r="H82" s="17" t="s">
        <v>1433</v>
      </c>
      <c r="I82" t="s">
        <v>1434</v>
      </c>
      <c r="J82" t="s">
        <v>1257</v>
      </c>
      <c r="K82" t="s">
        <v>1418</v>
      </c>
      <c r="L82" t="s">
        <v>238</v>
      </c>
      <c r="M82" t="s">
        <v>275</v>
      </c>
      <c r="N82" t="s">
        <v>233</v>
      </c>
      <c r="O82" s="4" t="s">
        <v>1435</v>
      </c>
      <c r="P82" t="s">
        <v>1420</v>
      </c>
      <c r="Q82" t="s">
        <v>569</v>
      </c>
      <c r="R82" s="4" t="s">
        <v>1436</v>
      </c>
      <c r="S82" s="4" t="str">
        <f t="shared" si="1"/>
        <v>§10</v>
      </c>
      <c r="T82" s="4"/>
      <c r="U82" s="4" t="str">
        <f>IF(COUNTIF('Survey 1 Papers'!$D:$D,D82)+COUNTIF('Survey 2 Papers'!$D:$D,D82)&gt;0,"Shared","Unique")</f>
        <v>Unique</v>
      </c>
    </row>
    <row r="83" spans="1:21" ht="29" x14ac:dyDescent="0.35">
      <c r="A83" s="16" t="s">
        <v>1412</v>
      </c>
      <c r="B83" t="s">
        <v>1727</v>
      </c>
      <c r="C83">
        <v>2020</v>
      </c>
      <c r="D83" t="s">
        <v>1728</v>
      </c>
      <c r="E83" t="s">
        <v>1729</v>
      </c>
      <c r="F83" s="4" t="s">
        <v>1730</v>
      </c>
      <c r="G83" t="s">
        <v>183</v>
      </c>
      <c r="H83" s="17" t="s">
        <v>1731</v>
      </c>
      <c r="I83" t="s">
        <v>227</v>
      </c>
      <c r="J83" t="s">
        <v>1257</v>
      </c>
      <c r="K83" t="s">
        <v>1418</v>
      </c>
      <c r="L83" t="s">
        <v>238</v>
      </c>
      <c r="M83" t="s">
        <v>275</v>
      </c>
      <c r="N83" t="s">
        <v>231</v>
      </c>
      <c r="O83" s="4" t="s">
        <v>1732</v>
      </c>
      <c r="P83" t="s">
        <v>1420</v>
      </c>
      <c r="Q83" t="s">
        <v>569</v>
      </c>
      <c r="R83" s="4" t="s">
        <v>1733</v>
      </c>
      <c r="S83" s="4" t="str">
        <f t="shared" si="1"/>
        <v>§10</v>
      </c>
      <c r="T83" s="4"/>
      <c r="U83" s="4" t="str">
        <f>IF(COUNTIF('Survey 1 Papers'!$D:$D,D83)+COUNTIF('Survey 2 Papers'!$D:$D,D83)&gt;0,"Shared","Unique")</f>
        <v>Unique</v>
      </c>
    </row>
    <row r="84" spans="1:21" ht="29" x14ac:dyDescent="0.35">
      <c r="A84" s="16" t="s">
        <v>1412</v>
      </c>
      <c r="B84" t="s">
        <v>1734</v>
      </c>
      <c r="C84">
        <v>2018</v>
      </c>
      <c r="D84" t="s">
        <v>1735</v>
      </c>
      <c r="E84" t="s">
        <v>1736</v>
      </c>
      <c r="F84" s="4" t="s">
        <v>1737</v>
      </c>
      <c r="G84" t="s">
        <v>183</v>
      </c>
      <c r="H84" s="17" t="s">
        <v>1738</v>
      </c>
      <c r="I84" t="s">
        <v>227</v>
      </c>
      <c r="J84" t="s">
        <v>1257</v>
      </c>
      <c r="K84" t="s">
        <v>1418</v>
      </c>
      <c r="L84" t="s">
        <v>238</v>
      </c>
      <c r="M84" t="s">
        <v>275</v>
      </c>
      <c r="N84" t="s">
        <v>233</v>
      </c>
      <c r="O84" s="4" t="s">
        <v>1739</v>
      </c>
      <c r="P84" t="s">
        <v>1420</v>
      </c>
      <c r="Q84" t="s">
        <v>569</v>
      </c>
      <c r="R84" s="4" t="s">
        <v>1740</v>
      </c>
      <c r="S84" s="4" t="str">
        <f t="shared" si="1"/>
        <v>§10</v>
      </c>
      <c r="T84" s="4"/>
      <c r="U84" s="4" t="str">
        <f>IF(COUNTIF('Survey 1 Papers'!$D:$D,D84)+COUNTIF('Survey 2 Papers'!$D:$D,D84)&gt;0,"Shared","Unique")</f>
        <v>Unique</v>
      </c>
    </row>
    <row r="85" spans="1:21" ht="29" x14ac:dyDescent="0.35">
      <c r="A85" s="16" t="s">
        <v>1437</v>
      </c>
      <c r="B85" t="s">
        <v>1438</v>
      </c>
      <c r="C85">
        <v>2015</v>
      </c>
      <c r="D85" t="s">
        <v>1439</v>
      </c>
      <c r="E85" t="s">
        <v>1440</v>
      </c>
      <c r="F85" s="4" t="s">
        <v>1441</v>
      </c>
      <c r="G85" t="s">
        <v>183</v>
      </c>
      <c r="H85" s="17" t="s">
        <v>1442</v>
      </c>
      <c r="I85" t="s">
        <v>226</v>
      </c>
      <c r="J85" t="s">
        <v>1145</v>
      </c>
      <c r="K85" t="s">
        <v>1443</v>
      </c>
      <c r="L85" t="s">
        <v>1057</v>
      </c>
      <c r="M85" t="s">
        <v>285</v>
      </c>
      <c r="N85" t="s">
        <v>231</v>
      </c>
      <c r="O85" s="4" t="s">
        <v>1444</v>
      </c>
      <c r="P85" t="s">
        <v>1383</v>
      </c>
      <c r="Q85" t="s">
        <v>569</v>
      </c>
      <c r="R85" s="4" t="s">
        <v>1445</v>
      </c>
      <c r="S85" s="4" t="str">
        <f t="shared" si="1"/>
        <v>§11; §14</v>
      </c>
      <c r="T85" s="4"/>
      <c r="U85" s="4" t="str">
        <f>IF(COUNTIF('Survey 1 Papers'!$D:$D,D85)+COUNTIF('Survey 2 Papers'!$D:$D,D85)&gt;0,"Shared","Unique")</f>
        <v>Unique</v>
      </c>
    </row>
    <row r="86" spans="1:21" ht="29" x14ac:dyDescent="0.35">
      <c r="A86" s="16" t="s">
        <v>1437</v>
      </c>
      <c r="B86" t="s">
        <v>1446</v>
      </c>
      <c r="C86">
        <v>2017</v>
      </c>
      <c r="D86" t="s">
        <v>1447</v>
      </c>
      <c r="E86" t="s">
        <v>1448</v>
      </c>
      <c r="F86" s="4" t="s">
        <v>1449</v>
      </c>
      <c r="G86" t="s">
        <v>183</v>
      </c>
      <c r="H86" s="17" t="s">
        <v>1450</v>
      </c>
      <c r="I86" t="s">
        <v>226</v>
      </c>
      <c r="J86" t="s">
        <v>1145</v>
      </c>
      <c r="K86" t="s">
        <v>1443</v>
      </c>
      <c r="L86" t="s">
        <v>1057</v>
      </c>
      <c r="M86" t="s">
        <v>285</v>
      </c>
      <c r="N86" t="s">
        <v>235</v>
      </c>
      <c r="O86" s="4" t="s">
        <v>1451</v>
      </c>
      <c r="P86" t="s">
        <v>1383</v>
      </c>
      <c r="Q86" t="s">
        <v>569</v>
      </c>
      <c r="R86" s="4" t="s">
        <v>1452</v>
      </c>
      <c r="S86" s="4" t="str">
        <f t="shared" si="1"/>
        <v>§11; §14</v>
      </c>
      <c r="T86" s="4"/>
      <c r="U86" s="4" t="str">
        <f>IF(COUNTIF('Survey 1 Papers'!$D:$D,D86)+COUNTIF('Survey 2 Papers'!$D:$D,D86)&gt;0,"Shared","Unique")</f>
        <v>Unique</v>
      </c>
    </row>
    <row r="87" spans="1:21" ht="29" x14ac:dyDescent="0.35">
      <c r="A87" s="16" t="s">
        <v>1437</v>
      </c>
      <c r="B87" t="s">
        <v>1453</v>
      </c>
      <c r="C87">
        <v>2017</v>
      </c>
      <c r="D87" t="s">
        <v>1454</v>
      </c>
      <c r="E87" t="s">
        <v>1225</v>
      </c>
      <c r="F87" s="4" t="s">
        <v>1455</v>
      </c>
      <c r="G87" t="s">
        <v>183</v>
      </c>
      <c r="H87" s="17" t="s">
        <v>1456</v>
      </c>
      <c r="I87" t="s">
        <v>227</v>
      </c>
      <c r="J87" t="s">
        <v>1145</v>
      </c>
      <c r="K87" t="s">
        <v>1443</v>
      </c>
      <c r="L87" t="s">
        <v>238</v>
      </c>
      <c r="M87" t="s">
        <v>275</v>
      </c>
      <c r="N87" t="s">
        <v>231</v>
      </c>
      <c r="O87" s="4" t="s">
        <v>1457</v>
      </c>
      <c r="P87" t="s">
        <v>1383</v>
      </c>
      <c r="Q87" t="s">
        <v>569</v>
      </c>
      <c r="R87" s="4" t="s">
        <v>1458</v>
      </c>
      <c r="S87" s="4" t="str">
        <f t="shared" si="1"/>
        <v>§11</v>
      </c>
      <c r="T87" s="4"/>
      <c r="U87" s="4" t="str">
        <f>IF(COUNTIF('Survey 1 Papers'!$D:$D,D87)+COUNTIF('Survey 2 Papers'!$D:$D,D87)&gt;0,"Shared","Unique")</f>
        <v>Unique</v>
      </c>
    </row>
    <row r="88" spans="1:21" ht="29" x14ac:dyDescent="0.35">
      <c r="A88" s="16" t="s">
        <v>1437</v>
      </c>
      <c r="B88" t="s">
        <v>1459</v>
      </c>
      <c r="C88">
        <v>2019</v>
      </c>
      <c r="D88" t="s">
        <v>1460</v>
      </c>
      <c r="E88" t="s">
        <v>1461</v>
      </c>
      <c r="F88" s="4" t="s">
        <v>1462</v>
      </c>
      <c r="G88" t="s">
        <v>183</v>
      </c>
      <c r="H88" s="17" t="s">
        <v>1463</v>
      </c>
      <c r="I88" t="s">
        <v>226</v>
      </c>
      <c r="J88" t="s">
        <v>1145</v>
      </c>
      <c r="K88" t="s">
        <v>1443</v>
      </c>
      <c r="L88" t="s">
        <v>1057</v>
      </c>
      <c r="M88" t="s">
        <v>285</v>
      </c>
      <c r="N88" t="s">
        <v>235</v>
      </c>
      <c r="O88" s="4" t="s">
        <v>1464</v>
      </c>
      <c r="P88" t="s">
        <v>1383</v>
      </c>
      <c r="Q88" t="s">
        <v>569</v>
      </c>
      <c r="R88" s="4" t="s">
        <v>1465</v>
      </c>
      <c r="S88" s="4" t="str">
        <f t="shared" si="1"/>
        <v>§11; §14</v>
      </c>
      <c r="T88" s="4"/>
      <c r="U88" s="4" t="str">
        <f>IF(COUNTIF('Survey 1 Papers'!$D:$D,D88)+COUNTIF('Survey 2 Papers'!$D:$D,D88)&gt;0,"Shared","Unique")</f>
        <v>Unique</v>
      </c>
    </row>
    <row r="89" spans="1:21" ht="29" x14ac:dyDescent="0.35">
      <c r="A89" s="16" t="s">
        <v>1437</v>
      </c>
      <c r="B89" t="s">
        <v>1466</v>
      </c>
      <c r="C89">
        <v>2021</v>
      </c>
      <c r="D89" t="s">
        <v>1467</v>
      </c>
      <c r="E89" t="s">
        <v>1468</v>
      </c>
      <c r="F89" s="4" t="s">
        <v>1469</v>
      </c>
      <c r="G89" t="s">
        <v>183</v>
      </c>
      <c r="H89" s="17" t="s">
        <v>1470</v>
      </c>
      <c r="I89" t="s">
        <v>227</v>
      </c>
      <c r="J89" t="s">
        <v>1145</v>
      </c>
      <c r="K89" t="s">
        <v>1443</v>
      </c>
      <c r="L89" t="s">
        <v>238</v>
      </c>
      <c r="M89" t="s">
        <v>275</v>
      </c>
      <c r="N89" t="s">
        <v>233</v>
      </c>
      <c r="O89" s="4" t="s">
        <v>1471</v>
      </c>
      <c r="P89" t="s">
        <v>1383</v>
      </c>
      <c r="Q89" t="s">
        <v>569</v>
      </c>
      <c r="R89" s="4" t="s">
        <v>1472</v>
      </c>
      <c r="S89" s="4" t="str">
        <f t="shared" si="1"/>
        <v>§11</v>
      </c>
      <c r="T89" s="4"/>
      <c r="U89" s="4" t="str">
        <f>IF(COUNTIF('Survey 1 Papers'!$D:$D,D89)+COUNTIF('Survey 2 Papers'!$D:$D,D89)&gt;0,"Shared","Unique")</f>
        <v>Unique</v>
      </c>
    </row>
    <row r="90" spans="1:21" ht="29" x14ac:dyDescent="0.35">
      <c r="A90" s="16" t="s">
        <v>1437</v>
      </c>
      <c r="B90" t="s">
        <v>1741</v>
      </c>
      <c r="C90">
        <v>2017</v>
      </c>
      <c r="D90" t="s">
        <v>1742</v>
      </c>
      <c r="E90" t="s">
        <v>1743</v>
      </c>
      <c r="F90" s="4" t="s">
        <v>1744</v>
      </c>
      <c r="G90" t="s">
        <v>183</v>
      </c>
      <c r="H90" s="17" t="s">
        <v>1745</v>
      </c>
      <c r="I90" t="s">
        <v>227</v>
      </c>
      <c r="J90" t="s">
        <v>1145</v>
      </c>
      <c r="K90" t="s">
        <v>1443</v>
      </c>
      <c r="L90" t="s">
        <v>238</v>
      </c>
      <c r="M90" t="s">
        <v>275</v>
      </c>
      <c r="N90" t="s">
        <v>235</v>
      </c>
      <c r="O90" s="4" t="s">
        <v>1746</v>
      </c>
      <c r="P90" t="s">
        <v>1383</v>
      </c>
      <c r="Q90" t="s">
        <v>569</v>
      </c>
      <c r="R90" s="4" t="s">
        <v>1747</v>
      </c>
      <c r="S90" s="4" t="str">
        <f t="shared" si="1"/>
        <v>§11</v>
      </c>
      <c r="T90" s="4"/>
      <c r="U90" s="4" t="str">
        <f>IF(COUNTIF('Survey 1 Papers'!$D:$D,D90)+COUNTIF('Survey 2 Papers'!$D:$D,D90)&gt;0,"Shared","Unique")</f>
        <v>Unique</v>
      </c>
    </row>
    <row r="91" spans="1:21" ht="29" x14ac:dyDescent="0.35">
      <c r="A91" s="16" t="s">
        <v>1437</v>
      </c>
      <c r="B91" t="s">
        <v>1748</v>
      </c>
      <c r="C91">
        <v>2016</v>
      </c>
      <c r="D91" t="s">
        <v>1749</v>
      </c>
      <c r="E91" t="s">
        <v>1750</v>
      </c>
      <c r="F91" s="4" t="s">
        <v>1751</v>
      </c>
      <c r="G91" t="s">
        <v>183</v>
      </c>
      <c r="H91" s="17" t="s">
        <v>1752</v>
      </c>
      <c r="I91" t="s">
        <v>227</v>
      </c>
      <c r="J91" t="s">
        <v>1145</v>
      </c>
      <c r="K91" t="s">
        <v>1443</v>
      </c>
      <c r="L91" t="s">
        <v>238</v>
      </c>
      <c r="M91" t="s">
        <v>275</v>
      </c>
      <c r="N91" t="s">
        <v>235</v>
      </c>
      <c r="O91" s="4" t="s">
        <v>1753</v>
      </c>
      <c r="P91" t="s">
        <v>1383</v>
      </c>
      <c r="Q91" t="s">
        <v>569</v>
      </c>
      <c r="R91" s="4" t="s">
        <v>1754</v>
      </c>
      <c r="S91" s="4" t="str">
        <f t="shared" si="1"/>
        <v>§11</v>
      </c>
      <c r="T91" s="4"/>
      <c r="U91" s="4" t="str">
        <f>IF(COUNTIF('Survey 1 Papers'!$D:$D,D91)+COUNTIF('Survey 2 Papers'!$D:$D,D91)&gt;0,"Shared","Unique")</f>
        <v>Unique</v>
      </c>
    </row>
    <row r="92" spans="1:21" ht="29" x14ac:dyDescent="0.35">
      <c r="A92" s="16" t="s">
        <v>1473</v>
      </c>
      <c r="B92" t="s">
        <v>1474</v>
      </c>
      <c r="C92">
        <v>2017</v>
      </c>
      <c r="D92" t="s">
        <v>1475</v>
      </c>
      <c r="E92" t="s">
        <v>1476</v>
      </c>
      <c r="F92" s="4" t="s">
        <v>1477</v>
      </c>
      <c r="G92" t="s">
        <v>183</v>
      </c>
      <c r="H92" s="17" t="s">
        <v>1478</v>
      </c>
      <c r="I92" t="s">
        <v>225</v>
      </c>
      <c r="J92" t="s">
        <v>1479</v>
      </c>
      <c r="K92" t="s">
        <v>1480</v>
      </c>
      <c r="L92" t="s">
        <v>1057</v>
      </c>
      <c r="M92" t="s">
        <v>285</v>
      </c>
      <c r="N92" t="s">
        <v>231</v>
      </c>
      <c r="O92" s="4" t="s">
        <v>1481</v>
      </c>
      <c r="P92" t="s">
        <v>1482</v>
      </c>
      <c r="Q92" t="s">
        <v>569</v>
      </c>
      <c r="R92" s="4" t="s">
        <v>1483</v>
      </c>
      <c r="S92" s="4" t="str">
        <f t="shared" si="1"/>
        <v>§12; §14</v>
      </c>
      <c r="T92" s="4"/>
      <c r="U92" s="4" t="str">
        <f>IF(COUNTIF('Survey 1 Papers'!$D:$D,D92)+COUNTIF('Survey 2 Papers'!$D:$D,D92)&gt;0,"Shared","Unique")</f>
        <v>Unique</v>
      </c>
    </row>
    <row r="93" spans="1:21" ht="29" x14ac:dyDescent="0.35">
      <c r="A93" s="16" t="s">
        <v>1473</v>
      </c>
      <c r="B93" t="s">
        <v>1484</v>
      </c>
      <c r="C93">
        <v>2022</v>
      </c>
      <c r="D93" t="s">
        <v>1485</v>
      </c>
      <c r="E93" t="s">
        <v>1486</v>
      </c>
      <c r="F93" s="4" t="s">
        <v>1487</v>
      </c>
      <c r="G93" t="s">
        <v>183</v>
      </c>
      <c r="H93" s="17" t="s">
        <v>1488</v>
      </c>
      <c r="I93" t="s">
        <v>227</v>
      </c>
      <c r="J93" t="s">
        <v>1479</v>
      </c>
      <c r="K93" t="s">
        <v>1480</v>
      </c>
      <c r="L93" t="s">
        <v>238</v>
      </c>
      <c r="M93" t="s">
        <v>275</v>
      </c>
      <c r="N93" t="s">
        <v>235</v>
      </c>
      <c r="O93" s="4" t="s">
        <v>1489</v>
      </c>
      <c r="P93" t="s">
        <v>1482</v>
      </c>
      <c r="Q93" t="s">
        <v>569</v>
      </c>
      <c r="R93" s="4" t="s">
        <v>1490</v>
      </c>
      <c r="S93" s="4" t="str">
        <f t="shared" si="1"/>
        <v>§12</v>
      </c>
      <c r="T93" s="4"/>
      <c r="U93" s="4" t="str">
        <f>IF(COUNTIF('Survey 1 Papers'!$D:$D,D93)+COUNTIF('Survey 2 Papers'!$D:$D,D93)&gt;0,"Shared","Unique")</f>
        <v>Unique</v>
      </c>
    </row>
    <row r="94" spans="1:21" ht="29" x14ac:dyDescent="0.35">
      <c r="A94" s="16" t="s">
        <v>1473</v>
      </c>
      <c r="B94" t="s">
        <v>1491</v>
      </c>
      <c r="C94">
        <v>2016</v>
      </c>
      <c r="D94" t="s">
        <v>1492</v>
      </c>
      <c r="E94" t="s">
        <v>1493</v>
      </c>
      <c r="F94" s="4" t="s">
        <v>1494</v>
      </c>
      <c r="G94" t="s">
        <v>183</v>
      </c>
      <c r="H94" s="17" t="s">
        <v>1495</v>
      </c>
      <c r="I94" t="s">
        <v>226</v>
      </c>
      <c r="J94" t="s">
        <v>1479</v>
      </c>
      <c r="K94" t="s">
        <v>1480</v>
      </c>
      <c r="L94" t="s">
        <v>1057</v>
      </c>
      <c r="M94" t="s">
        <v>285</v>
      </c>
      <c r="N94" t="s">
        <v>231</v>
      </c>
      <c r="O94" s="4" t="s">
        <v>1496</v>
      </c>
      <c r="P94" t="s">
        <v>1482</v>
      </c>
      <c r="Q94" t="s">
        <v>569</v>
      </c>
      <c r="R94" s="4" t="s">
        <v>1497</v>
      </c>
      <c r="S94" s="4" t="str">
        <f t="shared" si="1"/>
        <v>§12; §14</v>
      </c>
      <c r="T94" s="4"/>
      <c r="U94" s="4" t="str">
        <f>IF(COUNTIF('Survey 1 Papers'!$D:$D,D94)+COUNTIF('Survey 2 Papers'!$D:$D,D94)&gt;0,"Shared","Unique")</f>
        <v>Unique</v>
      </c>
    </row>
    <row r="95" spans="1:21" ht="29" x14ac:dyDescent="0.35">
      <c r="A95" s="16" t="s">
        <v>1473</v>
      </c>
      <c r="B95" t="s">
        <v>1755</v>
      </c>
      <c r="C95">
        <v>2018</v>
      </c>
      <c r="D95" t="s">
        <v>1756</v>
      </c>
      <c r="E95" t="s">
        <v>1757</v>
      </c>
      <c r="F95" s="4" t="s">
        <v>1758</v>
      </c>
      <c r="G95" t="s">
        <v>183</v>
      </c>
      <c r="H95" s="17" t="s">
        <v>1759</v>
      </c>
      <c r="I95" t="s">
        <v>225</v>
      </c>
      <c r="J95" t="s">
        <v>1479</v>
      </c>
      <c r="K95" t="s">
        <v>1480</v>
      </c>
      <c r="L95" t="s">
        <v>1057</v>
      </c>
      <c r="M95" t="s">
        <v>285</v>
      </c>
      <c r="N95" t="s">
        <v>231</v>
      </c>
      <c r="O95" s="4" t="s">
        <v>1760</v>
      </c>
      <c r="P95" t="s">
        <v>1482</v>
      </c>
      <c r="Q95" t="s">
        <v>569</v>
      </c>
      <c r="R95" s="4" t="s">
        <v>1761</v>
      </c>
      <c r="S95" s="4" t="str">
        <f t="shared" si="1"/>
        <v>§12; §14</v>
      </c>
      <c r="T95" s="4"/>
      <c r="U95" s="4" t="str">
        <f>IF(COUNTIF('Survey 1 Papers'!$D:$D,D95)+COUNTIF('Survey 2 Papers'!$D:$D,D95)&gt;0,"Shared","Unique")</f>
        <v>Unique</v>
      </c>
    </row>
    <row r="96" spans="1:21" ht="29" x14ac:dyDescent="0.35">
      <c r="A96" s="16" t="s">
        <v>1473</v>
      </c>
      <c r="B96" t="s">
        <v>1762</v>
      </c>
      <c r="C96">
        <v>2023</v>
      </c>
      <c r="D96" t="s">
        <v>1763</v>
      </c>
      <c r="E96" t="s">
        <v>1600</v>
      </c>
      <c r="F96" s="4" t="s">
        <v>1764</v>
      </c>
      <c r="G96" t="s">
        <v>183</v>
      </c>
      <c r="H96" s="17" t="s">
        <v>1765</v>
      </c>
      <c r="I96" t="s">
        <v>227</v>
      </c>
      <c r="J96" t="s">
        <v>1479</v>
      </c>
      <c r="K96" t="s">
        <v>1480</v>
      </c>
      <c r="L96" t="s">
        <v>238</v>
      </c>
      <c r="M96" t="s">
        <v>275</v>
      </c>
      <c r="N96" t="s">
        <v>235</v>
      </c>
      <c r="O96" s="4" t="s">
        <v>1766</v>
      </c>
      <c r="P96" t="s">
        <v>1482</v>
      </c>
      <c r="Q96" t="s">
        <v>569</v>
      </c>
      <c r="R96" s="4" t="s">
        <v>1767</v>
      </c>
      <c r="S96" s="4" t="str">
        <f t="shared" si="1"/>
        <v>§12</v>
      </c>
      <c r="T96" s="4"/>
      <c r="U96" s="4" t="str">
        <f>IF(COUNTIF('Survey 1 Papers'!$D:$D,D96)+COUNTIF('Survey 2 Papers'!$D:$D,D96)&gt;0,"Shared","Unique")</f>
        <v>Unique</v>
      </c>
    </row>
    <row r="97" spans="1:21" ht="29" x14ac:dyDescent="0.35">
      <c r="A97" s="16" t="s">
        <v>1498</v>
      </c>
      <c r="B97" t="s">
        <v>1499</v>
      </c>
      <c r="C97">
        <v>2024</v>
      </c>
      <c r="D97" t="s">
        <v>1500</v>
      </c>
      <c r="E97" t="s">
        <v>1142</v>
      </c>
      <c r="F97" s="4" t="s">
        <v>1501</v>
      </c>
      <c r="G97" t="s">
        <v>183</v>
      </c>
      <c r="H97" s="17" t="s">
        <v>1502</v>
      </c>
      <c r="I97" t="s">
        <v>226</v>
      </c>
      <c r="J97" t="s">
        <v>1220</v>
      </c>
      <c r="K97" t="s">
        <v>1503</v>
      </c>
      <c r="L97" t="s">
        <v>238</v>
      </c>
      <c r="M97" t="s">
        <v>275</v>
      </c>
      <c r="N97" t="s">
        <v>235</v>
      </c>
      <c r="O97" s="4" t="s">
        <v>1504</v>
      </c>
      <c r="P97" t="s">
        <v>1505</v>
      </c>
      <c r="Q97" t="s">
        <v>569</v>
      </c>
      <c r="R97" s="4" t="s">
        <v>1506</v>
      </c>
      <c r="S97" s="4" t="str">
        <f t="shared" si="1"/>
        <v>§13</v>
      </c>
      <c r="T97" s="4"/>
      <c r="U97" s="4" t="str">
        <f>IF(COUNTIF('Survey 1 Papers'!$D:$D,D97)+COUNTIF('Survey 2 Papers'!$D:$D,D97)&gt;0,"Shared","Unique")</f>
        <v>Unique</v>
      </c>
    </row>
    <row r="98" spans="1:21" ht="29" x14ac:dyDescent="0.35">
      <c r="A98" s="16" t="s">
        <v>1498</v>
      </c>
      <c r="B98" t="s">
        <v>1507</v>
      </c>
      <c r="C98">
        <v>2024</v>
      </c>
      <c r="D98" t="s">
        <v>1508</v>
      </c>
      <c r="E98" t="s">
        <v>1509</v>
      </c>
      <c r="F98" s="4" t="s">
        <v>1510</v>
      </c>
      <c r="G98" t="s">
        <v>1511</v>
      </c>
      <c r="H98" s="17" t="s">
        <v>1512</v>
      </c>
      <c r="I98" t="s">
        <v>226</v>
      </c>
      <c r="J98" t="s">
        <v>1220</v>
      </c>
      <c r="K98" t="s">
        <v>1503</v>
      </c>
      <c r="L98" t="s">
        <v>1057</v>
      </c>
      <c r="M98" t="s">
        <v>285</v>
      </c>
      <c r="N98" t="s">
        <v>1513</v>
      </c>
      <c r="O98" s="4" t="s">
        <v>1514</v>
      </c>
      <c r="P98" t="s">
        <v>1505</v>
      </c>
      <c r="Q98" t="s">
        <v>569</v>
      </c>
      <c r="R98" s="4" t="s">
        <v>1515</v>
      </c>
      <c r="S98" s="4" t="str">
        <f t="shared" si="1"/>
        <v>§13; §14</v>
      </c>
      <c r="T98" s="4"/>
      <c r="U98" s="4" t="str">
        <f>IF(COUNTIF('Survey 1 Papers'!$D:$D,D98)+COUNTIF('Survey 2 Papers'!$D:$D,D98)&gt;0,"Shared","Unique")</f>
        <v>Unique</v>
      </c>
    </row>
    <row r="99" spans="1:21" ht="29" x14ac:dyDescent="0.35">
      <c r="A99" s="16" t="s">
        <v>1498</v>
      </c>
      <c r="B99" t="s">
        <v>1516</v>
      </c>
      <c r="C99">
        <v>2023</v>
      </c>
      <c r="D99" t="s">
        <v>1517</v>
      </c>
      <c r="E99" t="s">
        <v>1518</v>
      </c>
      <c r="F99" s="4" t="s">
        <v>1519</v>
      </c>
      <c r="G99" t="s">
        <v>183</v>
      </c>
      <c r="H99" s="17" t="s">
        <v>1520</v>
      </c>
      <c r="I99" t="s">
        <v>227</v>
      </c>
      <c r="J99" t="s">
        <v>1220</v>
      </c>
      <c r="K99" t="s">
        <v>1132</v>
      </c>
      <c r="L99" t="s">
        <v>238</v>
      </c>
      <c r="M99" t="s">
        <v>275</v>
      </c>
      <c r="N99" t="s">
        <v>235</v>
      </c>
      <c r="O99" s="4" t="s">
        <v>1521</v>
      </c>
      <c r="P99" t="s">
        <v>1505</v>
      </c>
      <c r="Q99" t="s">
        <v>569</v>
      </c>
      <c r="R99" s="4" t="s">
        <v>1522</v>
      </c>
      <c r="S99" s="4" t="str">
        <f t="shared" si="1"/>
        <v>§13</v>
      </c>
      <c r="T99" s="4"/>
      <c r="U99" s="4" t="str">
        <f>IF(COUNTIF('Survey 1 Papers'!$D:$D,D99)+COUNTIF('Survey 2 Papers'!$D:$D,D99)&gt;0,"Shared","Unique")</f>
        <v>Unique</v>
      </c>
    </row>
    <row r="100" spans="1:21" ht="29" x14ac:dyDescent="0.35">
      <c r="A100" s="16" t="s">
        <v>1498</v>
      </c>
      <c r="B100" t="s">
        <v>1768</v>
      </c>
      <c r="C100">
        <v>2021</v>
      </c>
      <c r="D100" t="s">
        <v>1769</v>
      </c>
      <c r="E100" t="s">
        <v>1303</v>
      </c>
      <c r="F100" s="4" t="s">
        <v>1770</v>
      </c>
      <c r="G100" t="s">
        <v>183</v>
      </c>
      <c r="H100" s="17" t="s">
        <v>1771</v>
      </c>
      <c r="I100" t="s">
        <v>227</v>
      </c>
      <c r="J100" t="s">
        <v>1220</v>
      </c>
      <c r="K100" t="s">
        <v>1503</v>
      </c>
      <c r="L100" t="s">
        <v>238</v>
      </c>
      <c r="M100" t="s">
        <v>275</v>
      </c>
      <c r="N100" t="s">
        <v>235</v>
      </c>
      <c r="O100" s="4" t="s">
        <v>1772</v>
      </c>
      <c r="P100" t="s">
        <v>1505</v>
      </c>
      <c r="Q100" t="s">
        <v>569</v>
      </c>
      <c r="R100" s="4" t="s">
        <v>1773</v>
      </c>
      <c r="S100" s="4" t="str">
        <f t="shared" si="1"/>
        <v>§13</v>
      </c>
      <c r="T100" s="4"/>
      <c r="U100" s="4" t="str">
        <f>IF(COUNTIF('Survey 1 Papers'!$D:$D,D100)+COUNTIF('Survey 2 Papers'!$D:$D,D100)&gt;0,"Shared","Unique")</f>
        <v>Unique</v>
      </c>
    </row>
    <row r="101" spans="1:21" ht="29" x14ac:dyDescent="0.35">
      <c r="A101" s="16" t="s">
        <v>1498</v>
      </c>
      <c r="B101" t="s">
        <v>1774</v>
      </c>
      <c r="C101">
        <v>2022</v>
      </c>
      <c r="D101" t="s">
        <v>1775</v>
      </c>
      <c r="E101" t="s">
        <v>1776</v>
      </c>
      <c r="F101" s="4" t="s">
        <v>1777</v>
      </c>
      <c r="G101" t="s">
        <v>183</v>
      </c>
      <c r="H101" s="17" t="s">
        <v>1778</v>
      </c>
      <c r="I101" t="s">
        <v>227</v>
      </c>
      <c r="J101" t="s">
        <v>1220</v>
      </c>
      <c r="K101" t="s">
        <v>1503</v>
      </c>
      <c r="L101" t="s">
        <v>238</v>
      </c>
      <c r="M101" t="s">
        <v>275</v>
      </c>
      <c r="N101" t="s">
        <v>235</v>
      </c>
      <c r="O101" s="4" t="s">
        <v>1779</v>
      </c>
      <c r="P101" t="s">
        <v>1505</v>
      </c>
      <c r="Q101" t="s">
        <v>569</v>
      </c>
      <c r="R101" s="4" t="s">
        <v>1780</v>
      </c>
      <c r="S101" s="4" t="str">
        <f t="shared" si="1"/>
        <v>§13</v>
      </c>
      <c r="T101" s="4"/>
      <c r="U101" s="4" t="str">
        <f>IF(COUNTIF('Survey 1 Papers'!$D:$D,D101)+COUNTIF('Survey 2 Papers'!$D:$D,D101)&gt;0,"Shared","Unique")</f>
        <v>Unique</v>
      </c>
    </row>
    <row r="102" spans="1:21" ht="29" x14ac:dyDescent="0.35">
      <c r="A102" s="16" t="s">
        <v>1498</v>
      </c>
      <c r="B102" t="s">
        <v>1781</v>
      </c>
      <c r="C102">
        <v>2020</v>
      </c>
      <c r="D102" t="s">
        <v>1782</v>
      </c>
      <c r="E102" t="s">
        <v>1783</v>
      </c>
      <c r="F102" s="4" t="s">
        <v>1784</v>
      </c>
      <c r="G102" t="s">
        <v>183</v>
      </c>
      <c r="H102" s="17" t="s">
        <v>1785</v>
      </c>
      <c r="I102" t="s">
        <v>227</v>
      </c>
      <c r="J102" t="s">
        <v>1220</v>
      </c>
      <c r="K102" t="s">
        <v>1503</v>
      </c>
      <c r="L102" t="s">
        <v>238</v>
      </c>
      <c r="M102" t="s">
        <v>275</v>
      </c>
      <c r="N102" t="s">
        <v>235</v>
      </c>
      <c r="O102" s="4" t="s">
        <v>1786</v>
      </c>
      <c r="P102" t="s">
        <v>1505</v>
      </c>
      <c r="Q102" t="s">
        <v>569</v>
      </c>
      <c r="R102" s="4" t="s">
        <v>1787</v>
      </c>
      <c r="S102" s="4" t="str">
        <f t="shared" si="1"/>
        <v>§13</v>
      </c>
      <c r="T102" s="4"/>
      <c r="U102" s="4" t="str">
        <f>IF(COUNTIF('Survey 1 Papers'!$D:$D,D102)+COUNTIF('Survey 2 Papers'!$D:$D,D102)&gt;0,"Shared","Unique")</f>
        <v>Unique</v>
      </c>
    </row>
    <row r="103" spans="1:21" ht="43.5" x14ac:dyDescent="0.35">
      <c r="A103" s="16" t="s">
        <v>1473</v>
      </c>
      <c r="B103" t="s">
        <v>2899</v>
      </c>
      <c r="C103">
        <v>1991</v>
      </c>
      <c r="D103" t="s">
        <v>2900</v>
      </c>
      <c r="E103" t="s">
        <v>2901</v>
      </c>
      <c r="F103" s="4" t="s">
        <v>2902</v>
      </c>
      <c r="G103" t="s">
        <v>2903</v>
      </c>
      <c r="H103" s="17" t="s">
        <v>2904</v>
      </c>
      <c r="I103" t="s">
        <v>225</v>
      </c>
      <c r="J103" t="s">
        <v>1479</v>
      </c>
      <c r="K103" t="s">
        <v>1480</v>
      </c>
      <c r="L103" t="s">
        <v>1057</v>
      </c>
      <c r="M103" t="s">
        <v>285</v>
      </c>
      <c r="N103" t="s">
        <v>231</v>
      </c>
      <c r="O103" s="4" t="s">
        <v>2905</v>
      </c>
      <c r="P103" t="s">
        <v>1482</v>
      </c>
      <c r="Q103" t="s">
        <v>569</v>
      </c>
      <c r="R103" s="4"/>
      <c r="S103" s="4" t="str">
        <f t="shared" si="1"/>
        <v>§12; §14</v>
      </c>
      <c r="T103" s="4" t="s">
        <v>2940</v>
      </c>
      <c r="U103" s="4" t="str">
        <f>IF(COUNTIF('Survey 1 Papers'!$D:$D,D103)+COUNTIF('Survey 2 Papers'!$D:$D,D103)&gt;0,"Shared","Unique")</f>
        <v>Unique</v>
      </c>
    </row>
    <row r="104" spans="1:21" ht="43.5" x14ac:dyDescent="0.35">
      <c r="A104" s="16" t="s">
        <v>1473</v>
      </c>
      <c r="B104" t="s">
        <v>2906</v>
      </c>
      <c r="C104">
        <v>2015</v>
      </c>
      <c r="D104" t="s">
        <v>2907</v>
      </c>
      <c r="E104" t="s">
        <v>2908</v>
      </c>
      <c r="F104" s="4" t="s">
        <v>2909</v>
      </c>
      <c r="G104" t="s">
        <v>183</v>
      </c>
      <c r="H104" s="17" t="s">
        <v>2910</v>
      </c>
      <c r="I104" t="s">
        <v>226</v>
      </c>
      <c r="J104" t="s">
        <v>1479</v>
      </c>
      <c r="K104" t="s">
        <v>1480</v>
      </c>
      <c r="L104" t="s">
        <v>1057</v>
      </c>
      <c r="M104" t="s">
        <v>285</v>
      </c>
      <c r="N104" t="s">
        <v>231</v>
      </c>
      <c r="O104" s="4" t="s">
        <v>2911</v>
      </c>
      <c r="P104" t="s">
        <v>1482</v>
      </c>
      <c r="Q104" t="s">
        <v>569</v>
      </c>
      <c r="R104" s="4"/>
      <c r="S104" s="4" t="str">
        <f t="shared" si="1"/>
        <v>§12; §14</v>
      </c>
      <c r="T104" s="4" t="s">
        <v>2941</v>
      </c>
      <c r="U104" s="4" t="str">
        <f>IF(COUNTIF('Survey 1 Papers'!$D:$D,D104)+COUNTIF('Survey 2 Papers'!$D:$D,D104)&gt;0,"Shared","Unique")</f>
        <v>Unique</v>
      </c>
    </row>
    <row r="105" spans="1:21" ht="43.5" x14ac:dyDescent="0.35">
      <c r="A105" s="16" t="s">
        <v>1473</v>
      </c>
      <c r="B105" t="s">
        <v>2912</v>
      </c>
      <c r="C105">
        <v>2021</v>
      </c>
      <c r="D105" t="s">
        <v>2913</v>
      </c>
      <c r="E105" t="s">
        <v>2914</v>
      </c>
      <c r="F105" s="4" t="s">
        <v>2915</v>
      </c>
      <c r="G105" t="s">
        <v>183</v>
      </c>
      <c r="H105" s="17" t="s">
        <v>2916</v>
      </c>
      <c r="I105" t="s">
        <v>227</v>
      </c>
      <c r="J105" t="s">
        <v>1479</v>
      </c>
      <c r="K105" t="s">
        <v>1480</v>
      </c>
      <c r="L105" t="s">
        <v>238</v>
      </c>
      <c r="M105" t="s">
        <v>275</v>
      </c>
      <c r="N105" t="s">
        <v>235</v>
      </c>
      <c r="O105" s="4" t="s">
        <v>2917</v>
      </c>
      <c r="P105" t="s">
        <v>1482</v>
      </c>
      <c r="Q105" t="s">
        <v>569</v>
      </c>
      <c r="R105" s="4"/>
      <c r="S105" s="4" t="str">
        <f t="shared" si="1"/>
        <v>§12</v>
      </c>
      <c r="T105" s="4" t="s">
        <v>2942</v>
      </c>
      <c r="U105" s="4" t="str">
        <f>IF(COUNTIF('Survey 1 Papers'!$D:$D,D105)+COUNTIF('Survey 2 Papers'!$D:$D,D105)&gt;0,"Shared","Unique")</f>
        <v>Unique</v>
      </c>
    </row>
    <row r="106" spans="1:21" ht="43.5" x14ac:dyDescent="0.35">
      <c r="A106" s="16" t="s">
        <v>1473</v>
      </c>
      <c r="B106" t="s">
        <v>2918</v>
      </c>
      <c r="C106">
        <v>2024</v>
      </c>
      <c r="D106" t="s">
        <v>2919</v>
      </c>
      <c r="E106" t="s">
        <v>1142</v>
      </c>
      <c r="F106" s="4" t="s">
        <v>2920</v>
      </c>
      <c r="G106" t="s">
        <v>183</v>
      </c>
      <c r="H106" s="17" t="s">
        <v>2921</v>
      </c>
      <c r="I106" t="s">
        <v>225</v>
      </c>
      <c r="J106" t="s">
        <v>1479</v>
      </c>
      <c r="K106" t="s">
        <v>1480</v>
      </c>
      <c r="L106" t="s">
        <v>1057</v>
      </c>
      <c r="M106" t="s">
        <v>285</v>
      </c>
      <c r="N106" t="s">
        <v>235</v>
      </c>
      <c r="O106" s="4" t="s">
        <v>2922</v>
      </c>
      <c r="P106" t="s">
        <v>1482</v>
      </c>
      <c r="Q106" t="s">
        <v>569</v>
      </c>
      <c r="R106" s="4"/>
      <c r="S106" s="4" t="str">
        <f t="shared" si="1"/>
        <v>§12; §14</v>
      </c>
      <c r="T106" s="4" t="s">
        <v>2943</v>
      </c>
      <c r="U106" s="4" t="str">
        <f>IF(COUNTIF('Survey 1 Papers'!$D:$D,D106)+COUNTIF('Survey 2 Papers'!$D:$D,D106)&gt;0,"Shared","Unique")</f>
        <v>Unique</v>
      </c>
    </row>
    <row r="107" spans="1:21" ht="43.5" x14ac:dyDescent="0.35">
      <c r="A107" s="16" t="s">
        <v>1473</v>
      </c>
      <c r="B107" t="s">
        <v>2923</v>
      </c>
      <c r="C107">
        <v>2024</v>
      </c>
      <c r="D107" t="s">
        <v>2924</v>
      </c>
      <c r="E107" t="s">
        <v>2925</v>
      </c>
      <c r="F107" s="4" t="s">
        <v>2926</v>
      </c>
      <c r="G107" t="s">
        <v>183</v>
      </c>
      <c r="H107" s="17"/>
      <c r="I107" t="s">
        <v>226</v>
      </c>
      <c r="J107" t="s">
        <v>1479</v>
      </c>
      <c r="K107" t="s">
        <v>1480</v>
      </c>
      <c r="L107" t="s">
        <v>238</v>
      </c>
      <c r="M107" t="s">
        <v>275</v>
      </c>
      <c r="N107" t="s">
        <v>235</v>
      </c>
      <c r="O107" s="4" t="s">
        <v>2927</v>
      </c>
      <c r="P107" t="s">
        <v>1482</v>
      </c>
      <c r="Q107" t="s">
        <v>569</v>
      </c>
      <c r="R107" s="4"/>
      <c r="S107" s="4" t="str">
        <f t="shared" si="1"/>
        <v>§12</v>
      </c>
      <c r="T107" s="4" t="s">
        <v>2944</v>
      </c>
      <c r="U107" s="4" t="str">
        <f>IF(COUNTIF('Survey 1 Papers'!$D:$D,D107)+COUNTIF('Survey 2 Papers'!$D:$D,D107)&gt;0,"Shared","Unique")</f>
        <v>Unique</v>
      </c>
    </row>
    <row r="108" spans="1:21" ht="43.5" x14ac:dyDescent="0.35">
      <c r="A108" s="16" t="s">
        <v>1473</v>
      </c>
      <c r="B108" t="s">
        <v>2928</v>
      </c>
      <c r="C108">
        <v>2025</v>
      </c>
      <c r="D108" t="s">
        <v>2929</v>
      </c>
      <c r="E108" t="s">
        <v>2930</v>
      </c>
      <c r="F108" s="4" t="s">
        <v>2931</v>
      </c>
      <c r="G108" t="s">
        <v>2932</v>
      </c>
      <c r="H108" s="17"/>
      <c r="I108" t="s">
        <v>226</v>
      </c>
      <c r="J108" t="s">
        <v>1479</v>
      </c>
      <c r="K108" t="s">
        <v>1480</v>
      </c>
      <c r="L108" t="s">
        <v>1057</v>
      </c>
      <c r="M108" t="s">
        <v>285</v>
      </c>
      <c r="N108" t="s">
        <v>235</v>
      </c>
      <c r="O108" s="4" t="s">
        <v>2933</v>
      </c>
      <c r="P108" t="s">
        <v>1482</v>
      </c>
      <c r="Q108" t="s">
        <v>569</v>
      </c>
      <c r="R108" s="4"/>
      <c r="S108" s="4" t="str">
        <f t="shared" si="1"/>
        <v>§12; §14</v>
      </c>
      <c r="T108" s="4" t="s">
        <v>2945</v>
      </c>
      <c r="U108" s="4" t="str">
        <f>IF(COUNTIF('Survey 1 Papers'!$D:$D,D108)+COUNTIF('Survey 2 Papers'!$D:$D,D108)&gt;0,"Shared","Unique")</f>
        <v>Unique</v>
      </c>
    </row>
    <row r="109" spans="1:21" ht="43.5" x14ac:dyDescent="0.35">
      <c r="A109" s="16" t="s">
        <v>1473</v>
      </c>
      <c r="B109" t="s">
        <v>2934</v>
      </c>
      <c r="C109">
        <v>2026</v>
      </c>
      <c r="D109" t="s">
        <v>2935</v>
      </c>
      <c r="E109" t="s">
        <v>2936</v>
      </c>
      <c r="F109" s="4" t="s">
        <v>2937</v>
      </c>
      <c r="G109" t="s">
        <v>183</v>
      </c>
      <c r="H109" s="17" t="s">
        <v>2938</v>
      </c>
      <c r="I109" t="s">
        <v>226</v>
      </c>
      <c r="J109" t="s">
        <v>1479</v>
      </c>
      <c r="K109" t="s">
        <v>1480</v>
      </c>
      <c r="L109" t="s">
        <v>1057</v>
      </c>
      <c r="M109" t="s">
        <v>285</v>
      </c>
      <c r="N109" t="s">
        <v>235</v>
      </c>
      <c r="O109" s="4" t="s">
        <v>2939</v>
      </c>
      <c r="P109" t="s">
        <v>1482</v>
      </c>
      <c r="Q109" t="s">
        <v>569</v>
      </c>
      <c r="R109" s="4"/>
      <c r="S109" s="4" t="str">
        <f t="shared" si="1"/>
        <v>§12; §14</v>
      </c>
      <c r="T109" s="4" t="s">
        <v>2946</v>
      </c>
      <c r="U109" s="4" t="str">
        <f>IF(COUNTIF('Survey 1 Papers'!$D:$D,D109)+COUNTIF('Survey 2 Papers'!$D:$D,D109)&gt;0,"Shared","Unique")</f>
        <v>Unique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5DB7-C5DC-40AE-B3AE-6FC2B0EB939C}">
  <dimension ref="A1:N32"/>
  <sheetViews>
    <sheetView workbookViewId="0">
      <selection activeCell="B28" sqref="B28"/>
    </sheetView>
  </sheetViews>
  <sheetFormatPr defaultRowHeight="14.5" x14ac:dyDescent="0.35"/>
  <cols>
    <col min="1" max="1" width="8.1796875" customWidth="1"/>
    <col min="2" max="2" width="40" customWidth="1"/>
    <col min="3" max="3" width="14.54296875" customWidth="1"/>
    <col min="4" max="4" width="41.1796875" customWidth="1"/>
    <col min="5" max="5" width="3.6328125" customWidth="1"/>
    <col min="6" max="6" width="6.36328125" customWidth="1"/>
    <col min="7" max="7" width="34.54296875" customWidth="1"/>
    <col min="8" max="9" width="14.54296875" customWidth="1"/>
    <col min="12" max="12" width="34.54296875" customWidth="1"/>
  </cols>
  <sheetData>
    <row r="1" spans="1:14" ht="18.5" x14ac:dyDescent="0.45">
      <c r="A1" s="2" t="s">
        <v>2642</v>
      </c>
    </row>
    <row r="3" spans="1:14" x14ac:dyDescent="0.35">
      <c r="A3" t="s">
        <v>2643</v>
      </c>
      <c r="B3" s="49">
        <v>5</v>
      </c>
    </row>
    <row r="5" spans="1:14" x14ac:dyDescent="0.35">
      <c r="A5" s="29" t="s">
        <v>2644</v>
      </c>
      <c r="B5" s="29"/>
      <c r="C5" s="29"/>
      <c r="D5" s="29"/>
      <c r="E5" s="29"/>
      <c r="F5" s="29" t="s">
        <v>2645</v>
      </c>
      <c r="K5" s="29" t="s">
        <v>2947</v>
      </c>
    </row>
    <row r="6" spans="1:14" x14ac:dyDescent="0.35">
      <c r="A6" s="50" t="s">
        <v>2646</v>
      </c>
      <c r="B6" s="50" t="s">
        <v>365</v>
      </c>
      <c r="C6" s="50" t="s">
        <v>2647</v>
      </c>
      <c r="D6" s="50" t="s">
        <v>6</v>
      </c>
      <c r="F6" s="50" t="s">
        <v>2646</v>
      </c>
      <c r="G6" s="50" t="s">
        <v>365</v>
      </c>
      <c r="H6" s="50" t="s">
        <v>2647</v>
      </c>
      <c r="I6" s="50" t="s">
        <v>6</v>
      </c>
      <c r="K6" s="50" t="s">
        <v>2646</v>
      </c>
      <c r="L6" s="50" t="s">
        <v>365</v>
      </c>
      <c r="M6" s="50" t="s">
        <v>2647</v>
      </c>
      <c r="N6" s="50" t="s">
        <v>6</v>
      </c>
    </row>
    <row r="7" spans="1:14" x14ac:dyDescent="0.35">
      <c r="A7" s="51" t="s">
        <v>2648</v>
      </c>
      <c r="B7" t="s">
        <v>2649</v>
      </c>
      <c r="C7" cm="1">
        <f t="array" ref="C7">SUMPRODUCT(--ISNUMBER(SEARCH(" "&amp;A7&amp;" "," "&amp;SUBSTITUTE('Survey 1 Papers'!$U$2:$U$499,";"," ")&amp;" ")))</f>
        <v>5</v>
      </c>
      <c r="D7" t="str">
        <f>IF(C7&lt;$B$3,"⚠ Add papers","OK")</f>
        <v>OK</v>
      </c>
      <c r="F7" s="51" t="s">
        <v>2674</v>
      </c>
      <c r="G7" t="s">
        <v>2675</v>
      </c>
      <c r="H7" cm="1">
        <f t="array" ref="H7">SUMPRODUCT(--((ISNUMBER(SEARCH("§"&amp;F7&amp;".",'Survey 2 Papers'!$S$2:$S$500&amp;";"))+ISNUMBER(SEARCH("§"&amp;F7&amp;";",'Survey 2 Papers'!$S$2:$S$500&amp;";"))+ISNUMBER(SEARCH("§"&amp;F7&amp;" ",'Survey 2 Papers'!$S$2:$S$500&amp;";")))&gt;0))</f>
        <v>1</v>
      </c>
      <c r="I7" t="str">
        <f>IF(H7&lt;$B$3,"⚠ Add papers","OK")</f>
        <v>⚠ Add papers</v>
      </c>
      <c r="K7" s="34">
        <f>' Survey 3 Outline'!A5</f>
        <v>1</v>
      </c>
      <c r="L7" t="str">
        <f>' Survey 3 Outline'!B5</f>
        <v>Introduction &amp; Scope</v>
      </c>
      <c r="M7" cm="1">
        <f t="array" ref="M7">SUMPRODUCT(--ISNUMBER(SEARCH(";§"&amp;K7&amp;";",";"&amp;SUBSTITUTE('Survey 3 Papers'!$S$2:$S$500," ","")&amp;";")))</f>
        <v>0</v>
      </c>
      <c r="N7" t="str">
        <f t="shared" ref="N7:N21" si="0">IF(M7&lt;$B$3,"⚠ Add papers","OK")</f>
        <v>⚠ Add papers</v>
      </c>
    </row>
    <row r="8" spans="1:14" x14ac:dyDescent="0.35">
      <c r="A8" s="51" t="s">
        <v>2650</v>
      </c>
      <c r="B8" t="s">
        <v>2651</v>
      </c>
      <c r="C8" cm="1">
        <f t="array" ref="C8">SUMPRODUCT(--ISNUMBER(SEARCH(" "&amp;A8&amp;" "," "&amp;SUBSTITUTE('Survey 1 Papers'!$U$2:$U$499,";"," ")&amp;" ")))</f>
        <v>5</v>
      </c>
      <c r="D8" t="str">
        <f t="shared" ref="D8:D22" si="1">IF(C8&lt;$B$3,"⚠ Add papers","OK")</f>
        <v>OK</v>
      </c>
      <c r="F8" s="51" t="s">
        <v>2676</v>
      </c>
      <c r="G8" t="s">
        <v>2677</v>
      </c>
      <c r="H8" cm="1">
        <f t="array" ref="H8">SUMPRODUCT(--((ISNUMBER(SEARCH("§"&amp;F8&amp;".",'Survey 2 Papers'!$S$2:$S$500&amp;";"))+ISNUMBER(SEARCH("§"&amp;F8&amp;";",'Survey 2 Papers'!$S$2:$S$500&amp;";"))+ISNUMBER(SEARCH("§"&amp;F8&amp;" ",'Survey 2 Papers'!$S$2:$S$500&amp;";")))&gt;0))</f>
        <v>22</v>
      </c>
      <c r="I8" t="str">
        <f t="shared" ref="I8:I31" si="2">IF(H8&lt;$B$3,"⚠ Add papers","OK")</f>
        <v>OK</v>
      </c>
      <c r="K8" s="34">
        <f>' Survey 3 Outline'!A6</f>
        <v>2</v>
      </c>
      <c r="L8" t="str">
        <f>' Survey 3 Outline'!B6</f>
        <v>Background: Learning Modalities in Robotics</v>
      </c>
      <c r="M8" cm="1">
        <f t="array" ref="M8">SUMPRODUCT(--ISNUMBER(SEARCH(";§"&amp;K8&amp;";",";"&amp;SUBSTITUTE('Survey 3 Papers'!$S$2:$S$500," ","")&amp;";")))</f>
        <v>10</v>
      </c>
      <c r="N8" t="str">
        <f t="shared" si="0"/>
        <v>OK</v>
      </c>
    </row>
    <row r="9" spans="1:14" x14ac:dyDescent="0.35">
      <c r="A9" s="51" t="s">
        <v>2652</v>
      </c>
      <c r="B9" t="s">
        <v>2653</v>
      </c>
      <c r="C9" cm="1">
        <f t="array" ref="C9">SUMPRODUCT(--ISNUMBER(SEARCH(" "&amp;A9&amp;" "," "&amp;SUBSTITUTE('Survey 1 Papers'!$U$2:$U$499,";"," ")&amp;" ")))</f>
        <v>14</v>
      </c>
      <c r="D9" t="str">
        <f t="shared" si="1"/>
        <v>OK</v>
      </c>
      <c r="F9" s="51" t="s">
        <v>2678</v>
      </c>
      <c r="G9" t="s">
        <v>2679</v>
      </c>
      <c r="H9" cm="1">
        <f t="array" ref="H9">SUMPRODUCT(--((ISNUMBER(SEARCH("§"&amp;F9&amp;".",'Survey 2 Papers'!$S$2:$S$500&amp;";"))+ISNUMBER(SEARCH("§"&amp;F9&amp;";",'Survey 2 Papers'!$S$2:$S$500&amp;";"))+ISNUMBER(SEARCH("§"&amp;F9&amp;" ",'Survey 2 Papers'!$S$2:$S$500&amp;";")))&gt;0))</f>
        <v>2</v>
      </c>
      <c r="I9" t="str">
        <f t="shared" si="2"/>
        <v>⚠ Add papers</v>
      </c>
      <c r="K9" s="34">
        <f>' Survey 3 Outline'!A7</f>
        <v>3</v>
      </c>
      <c r="L9" t="str">
        <f>' Survey 3 Outline'!B7</f>
        <v>LLMs as Planners &amp; Orchestrators for Embodied Agents</v>
      </c>
      <c r="M9" cm="1">
        <f t="array" ref="M9">SUMPRODUCT(--ISNUMBER(SEARCH(";§"&amp;K9&amp;";",";"&amp;SUBSTITUTE('Survey 3 Papers'!$S$2:$S$500," ","")&amp;";")))</f>
        <v>15</v>
      </c>
      <c r="N9" t="str">
        <f t="shared" si="0"/>
        <v>OK</v>
      </c>
    </row>
    <row r="10" spans="1:14" x14ac:dyDescent="0.35">
      <c r="A10" s="51" t="s">
        <v>2654</v>
      </c>
      <c r="B10" t="s">
        <v>2655</v>
      </c>
      <c r="C10" cm="1">
        <f t="array" ref="C10">SUMPRODUCT(--ISNUMBER(SEARCH(" "&amp;A10&amp;" "," "&amp;SUBSTITUTE('Survey 1 Papers'!$U$2:$U$499,";"," ")&amp;" ")))</f>
        <v>17</v>
      </c>
      <c r="D10" t="str">
        <f t="shared" si="1"/>
        <v>OK</v>
      </c>
      <c r="F10" s="51" t="s">
        <v>2680</v>
      </c>
      <c r="G10" t="s">
        <v>2681</v>
      </c>
      <c r="H10" cm="1">
        <f t="array" ref="H10">SUMPRODUCT(--((ISNUMBER(SEARCH("§"&amp;F10&amp;".",'Survey 2 Papers'!$S$2:$S$500&amp;";"))+ISNUMBER(SEARCH("§"&amp;F10&amp;";",'Survey 2 Papers'!$S$2:$S$500&amp;";"))+ISNUMBER(SEARCH("§"&amp;F10&amp;" ",'Survey 2 Papers'!$S$2:$S$500&amp;";")))&gt;0))</f>
        <v>0</v>
      </c>
      <c r="I10" t="str">
        <f t="shared" si="2"/>
        <v>⚠ Add papers</v>
      </c>
      <c r="K10" s="34">
        <f>' Survey 3 Outline'!A8</f>
        <v>4</v>
      </c>
      <c r="L10" t="str">
        <f>' Survey 3 Outline'!B8</f>
        <v>VLA &amp; Robot Foundation Models</v>
      </c>
      <c r="M10" cm="1">
        <f t="array" ref="M10">SUMPRODUCT(--ISNUMBER(SEARCH(";§"&amp;K10&amp;";",";"&amp;SUBSTITUTE('Survey 3 Papers'!$S$2:$S$500," ","")&amp;";")))</f>
        <v>12</v>
      </c>
      <c r="N10" t="str">
        <f t="shared" si="0"/>
        <v>OK</v>
      </c>
    </row>
    <row r="11" spans="1:14" x14ac:dyDescent="0.35">
      <c r="A11" s="51" t="s">
        <v>2656</v>
      </c>
      <c r="B11" t="s">
        <v>2657</v>
      </c>
      <c r="C11" cm="1">
        <f t="array" ref="C11">SUMPRODUCT(--ISNUMBER(SEARCH(" "&amp;A11&amp;" "," "&amp;SUBSTITUTE('Survey 1 Papers'!$U$2:$U$499,";"," ")&amp;" ")))</f>
        <v>13</v>
      </c>
      <c r="D11" t="str">
        <f t="shared" si="1"/>
        <v>OK</v>
      </c>
      <c r="F11" s="51" t="s">
        <v>2682</v>
      </c>
      <c r="G11" t="s">
        <v>2683</v>
      </c>
      <c r="H11" cm="1">
        <f t="array" ref="H11">SUMPRODUCT(--((ISNUMBER(SEARCH("§"&amp;F11&amp;".",'Survey 2 Papers'!$S$2:$S$500&amp;";"))+ISNUMBER(SEARCH("§"&amp;F11&amp;";",'Survey 2 Papers'!$S$2:$S$500&amp;";"))+ISNUMBER(SEARCH("§"&amp;F11&amp;" ",'Survey 2 Papers'!$S$2:$S$500&amp;";")))&gt;0))</f>
        <v>15</v>
      </c>
      <c r="I11" t="str">
        <f t="shared" si="2"/>
        <v>OK</v>
      </c>
      <c r="K11" s="34">
        <f>' Survey 3 Outline'!A9</f>
        <v>5</v>
      </c>
      <c r="L11" t="str">
        <f>' Survey 3 Outline'!B9</f>
        <v>Modality 1 — Vision Perception with Epistemic Uncertainty</v>
      </c>
      <c r="M11" cm="1">
        <f t="array" ref="M11">SUMPRODUCT(--ISNUMBER(SEARCH(";§"&amp;K11&amp;";",";"&amp;SUBSTITUTE('Survey 3 Papers'!$S$2:$S$500," ","")&amp;";")))</f>
        <v>8</v>
      </c>
      <c r="N11" t="str">
        <f t="shared" si="0"/>
        <v>OK</v>
      </c>
    </row>
    <row r="12" spans="1:14" x14ac:dyDescent="0.35">
      <c r="A12" s="51" t="s">
        <v>2658</v>
      </c>
      <c r="B12" t="s">
        <v>422</v>
      </c>
      <c r="C12" cm="1">
        <f t="array" ref="C12">SUMPRODUCT(--ISNUMBER(SEARCH(" "&amp;A12&amp;" "," "&amp;SUBSTITUTE('Survey 1 Papers'!$U$2:$U$499,";"," ")&amp;" ")))</f>
        <v>17</v>
      </c>
      <c r="D12" t="str">
        <f t="shared" si="1"/>
        <v>OK</v>
      </c>
      <c r="F12" s="51" t="s">
        <v>2684</v>
      </c>
      <c r="G12" t="s">
        <v>2685</v>
      </c>
      <c r="H12" cm="1">
        <f t="array" ref="H12">SUMPRODUCT(--((ISNUMBER(SEARCH("§"&amp;F12&amp;".",'Survey 2 Papers'!$S$2:$S$500&amp;";"))+ISNUMBER(SEARCH("§"&amp;F12&amp;";",'Survey 2 Papers'!$S$2:$S$500&amp;";"))+ISNUMBER(SEARCH("§"&amp;F12&amp;" ",'Survey 2 Papers'!$S$2:$S$500&amp;";")))&gt;0))</f>
        <v>5</v>
      </c>
      <c r="I12" t="str">
        <f t="shared" si="2"/>
        <v>OK</v>
      </c>
      <c r="K12" s="34">
        <f>' Survey 3 Outline'!A10</f>
        <v>6</v>
      </c>
      <c r="L12" t="str">
        <f>' Survey 3 Outline'!B10</f>
        <v>Modality 2 — Reinforcement Learning with Policy Variance</v>
      </c>
      <c r="M12" cm="1">
        <f t="array" ref="M12">SUMPRODUCT(--ISNUMBER(SEARCH(";§"&amp;K12&amp;";",";"&amp;SUBSTITUTE('Survey 3 Papers'!$S$2:$S$500," ","")&amp;";")))</f>
        <v>10</v>
      </c>
      <c r="N12" t="str">
        <f t="shared" si="0"/>
        <v>OK</v>
      </c>
    </row>
    <row r="13" spans="1:14" x14ac:dyDescent="0.35">
      <c r="A13" s="51" t="s">
        <v>2659</v>
      </c>
      <c r="B13" t="s">
        <v>2660</v>
      </c>
      <c r="C13" cm="1">
        <f t="array" ref="C13">SUMPRODUCT(--ISNUMBER(SEARCH(" "&amp;A13&amp;" "," "&amp;SUBSTITUTE('Survey 1 Papers'!$U$2:$U$499,";"," ")&amp;" ")))</f>
        <v>8</v>
      </c>
      <c r="D13" t="str">
        <f t="shared" si="1"/>
        <v>OK</v>
      </c>
      <c r="F13" s="51" t="s">
        <v>2686</v>
      </c>
      <c r="G13" t="s">
        <v>2687</v>
      </c>
      <c r="H13" cm="1">
        <f t="array" ref="H13">SUMPRODUCT(--((ISNUMBER(SEARCH("§"&amp;F13&amp;".",'Survey 2 Papers'!$S$2:$S$500&amp;";"))+ISNUMBER(SEARCH("§"&amp;F13&amp;";",'Survey 2 Papers'!$S$2:$S$500&amp;";"))+ISNUMBER(SEARCH("§"&amp;F13&amp;" ",'Survey 2 Papers'!$S$2:$S$500&amp;";")))&gt;0))</f>
        <v>7</v>
      </c>
      <c r="I13" t="str">
        <f t="shared" si="2"/>
        <v>OK</v>
      </c>
      <c r="K13" s="34">
        <f>' Survey 3 Outline'!A11</f>
        <v>7</v>
      </c>
      <c r="L13" t="str">
        <f>' Survey 3 Outline'!B11</f>
        <v>Modality 3 — Imitation with Behavioural Fidelity</v>
      </c>
      <c r="M13" cm="1">
        <f t="array" ref="M13">SUMPRODUCT(--ISNUMBER(SEARCH(";§"&amp;K13&amp;";",";"&amp;SUBSTITUTE('Survey 3 Papers'!$S$2:$S$500," ","")&amp;";")))</f>
        <v>9</v>
      </c>
      <c r="N13" t="str">
        <f t="shared" si="0"/>
        <v>OK</v>
      </c>
    </row>
    <row r="14" spans="1:14" x14ac:dyDescent="0.35">
      <c r="A14" s="51" t="s">
        <v>2661</v>
      </c>
      <c r="B14" t="s">
        <v>2662</v>
      </c>
      <c r="C14" cm="1">
        <f t="array" ref="C14">SUMPRODUCT(--ISNUMBER(SEARCH(" "&amp;A14&amp;" "," "&amp;SUBSTITUTE('Survey 1 Papers'!$U$2:$U$499,";"," ")&amp;" ")))</f>
        <v>5</v>
      </c>
      <c r="D14" t="str">
        <f t="shared" si="1"/>
        <v>OK</v>
      </c>
      <c r="F14" s="51" t="s">
        <v>2688</v>
      </c>
      <c r="G14" t="s">
        <v>2689</v>
      </c>
      <c r="H14" cm="1">
        <f t="array" ref="H14">SUMPRODUCT(--((ISNUMBER(SEARCH("§"&amp;F14&amp;".",'Survey 2 Papers'!$S$2:$S$500&amp;";"))+ISNUMBER(SEARCH("§"&amp;F14&amp;";",'Survey 2 Papers'!$S$2:$S$500&amp;";"))+ISNUMBER(SEARCH("§"&amp;F14&amp;" ",'Survey 2 Papers'!$S$2:$S$500&amp;";")))&gt;0))</f>
        <v>10</v>
      </c>
      <c r="I14" t="str">
        <f t="shared" si="2"/>
        <v>OK</v>
      </c>
      <c r="K14" s="34">
        <f>' Survey 3 Outline'!A12</f>
        <v>8</v>
      </c>
      <c r="L14" t="str">
        <f>' Survey 3 Outline'!B12</f>
        <v>Modality 4 — Fault Adaptation &amp; Recovery</v>
      </c>
      <c r="M14" cm="1">
        <f t="array" ref="M14">SUMPRODUCT(--ISNUMBER(SEARCH(";§"&amp;K14&amp;";",";"&amp;SUBSTITUTE('Survey 3 Papers'!$S$2:$S$500," ","")&amp;";")))</f>
        <v>6</v>
      </c>
      <c r="N14" t="str">
        <f t="shared" si="0"/>
        <v>OK</v>
      </c>
    </row>
    <row r="15" spans="1:14" x14ac:dyDescent="0.35">
      <c r="A15" s="51" t="s">
        <v>2663</v>
      </c>
      <c r="B15" t="s">
        <v>2664</v>
      </c>
      <c r="C15" cm="1">
        <f t="array" ref="C15">SUMPRODUCT(--ISNUMBER(SEARCH(" "&amp;A15&amp;" "," "&amp;SUBSTITUTE('Survey 1 Papers'!$U$2:$U$499,";"," ")&amp;" ")))</f>
        <v>7</v>
      </c>
      <c r="D15" t="str">
        <f t="shared" si="1"/>
        <v>OK</v>
      </c>
      <c r="F15" s="51" t="s">
        <v>2690</v>
      </c>
      <c r="G15" t="s">
        <v>2691</v>
      </c>
      <c r="H15" cm="1">
        <f t="array" ref="H15">SUMPRODUCT(--((ISNUMBER(SEARCH("§"&amp;F15&amp;".",'Survey 2 Papers'!$S$2:$S$500&amp;";"))+ISNUMBER(SEARCH("§"&amp;F15&amp;";",'Survey 2 Papers'!$S$2:$S$500&amp;";"))+ISNUMBER(SEARCH("§"&amp;F15&amp;" ",'Survey 2 Papers'!$S$2:$S$500&amp;";")))&gt;0))</f>
        <v>7</v>
      </c>
      <c r="I15" t="str">
        <f t="shared" si="2"/>
        <v>OK</v>
      </c>
      <c r="K15" s="34">
        <f>' Survey 3 Outline'!A13</f>
        <v>9</v>
      </c>
      <c r="L15" t="str">
        <f>' Survey 3 Outline'!B13</f>
        <v>Meta-Learning &amp; Learning-to-Learn (the orchestration backbone)</v>
      </c>
      <c r="M15" cm="1">
        <f t="array" ref="M15">SUMPRODUCT(--ISNUMBER(SEARCH(";§"&amp;K15&amp;";",";"&amp;SUBSTITUTE('Survey 3 Papers'!$S$2:$S$500," ","")&amp;";")))</f>
        <v>9</v>
      </c>
      <c r="N15" t="str">
        <f t="shared" si="0"/>
        <v>OK</v>
      </c>
    </row>
    <row r="16" spans="1:14" x14ac:dyDescent="0.35">
      <c r="A16" s="51" t="s">
        <v>2665</v>
      </c>
      <c r="B16" t="s">
        <v>2666</v>
      </c>
      <c r="C16" cm="1">
        <f t="array" ref="C16">SUMPRODUCT(--ISNUMBER(SEARCH(" "&amp;A16&amp;" "," "&amp;SUBSTITUTE('Survey 1 Papers'!$U$2:$U$499,";"," ")&amp;" ")))</f>
        <v>9</v>
      </c>
      <c r="D16" t="str">
        <f t="shared" si="1"/>
        <v>OK</v>
      </c>
      <c r="F16" s="51" t="s">
        <v>2692</v>
      </c>
      <c r="G16" t="s">
        <v>2693</v>
      </c>
      <c r="H16" cm="1">
        <f t="array" ref="H16">SUMPRODUCT(--((ISNUMBER(SEARCH("§"&amp;F16&amp;".",'Survey 2 Papers'!$S$2:$S$500&amp;";"))+ISNUMBER(SEARCH("§"&amp;F16&amp;";",'Survey 2 Papers'!$S$2:$S$500&amp;";"))+ISNUMBER(SEARCH("§"&amp;F16&amp;" ",'Survey 2 Papers'!$S$2:$S$500&amp;";")))&gt;0))</f>
        <v>9</v>
      </c>
      <c r="I16" t="str">
        <f t="shared" si="2"/>
        <v>OK</v>
      </c>
      <c r="K16" s="34">
        <f>' Survey 3 Outline'!A14</f>
        <v>10</v>
      </c>
      <c r="L16" t="str">
        <f>' Survey 3 Outline'!B14</f>
        <v>Uncertainty Fusion &amp; Federated Confidence Signals</v>
      </c>
      <c r="M16" cm="1">
        <f t="array" ref="M16">SUMPRODUCT(--ISNUMBER(SEARCH(";§"&amp;K16&amp;";",";"&amp;SUBSTITUTE('Survey 3 Papers'!$S$2:$S$500," ","")&amp;";")))</f>
        <v>6</v>
      </c>
      <c r="N16" t="str">
        <f t="shared" si="0"/>
        <v>OK</v>
      </c>
    </row>
    <row r="17" spans="1:14" x14ac:dyDescent="0.35">
      <c r="A17" s="51" t="s">
        <v>2192</v>
      </c>
      <c r="B17" t="s">
        <v>2333</v>
      </c>
      <c r="C17" cm="1">
        <f t="array" ref="C17">SUMPRODUCT(--ISNUMBER(SEARCH(" "&amp;A17&amp;" "," "&amp;SUBSTITUTE('Survey 1 Papers'!$U$2:$U$499,";"," ")&amp;" ")))</f>
        <v>6</v>
      </c>
      <c r="D17" t="str">
        <f t="shared" si="1"/>
        <v>OK</v>
      </c>
      <c r="F17" s="51" t="s">
        <v>2694</v>
      </c>
      <c r="G17" t="s">
        <v>2695</v>
      </c>
      <c r="H17" cm="1">
        <f t="array" ref="H17">SUMPRODUCT(--((ISNUMBER(SEARCH("§"&amp;F17&amp;".",'Survey 2 Papers'!$S$2:$S$500&amp;";"))+ISNUMBER(SEARCH("§"&amp;F17&amp;";",'Survey 2 Papers'!$S$2:$S$500&amp;";"))+ISNUMBER(SEARCH("§"&amp;F17&amp;" ",'Survey 2 Papers'!$S$2:$S$500&amp;";")))&gt;0))</f>
        <v>6</v>
      </c>
      <c r="I17" t="str">
        <f t="shared" si="2"/>
        <v>OK</v>
      </c>
      <c r="K17" s="34">
        <f>' Survey 3 Outline'!A15</f>
        <v>11</v>
      </c>
      <c r="L17" t="str">
        <f>' Survey 3 Outline'!B15</f>
        <v>On-Device Adaptation: LoRA, Replay &amp; Continual Learning</v>
      </c>
      <c r="M17" cm="1">
        <f t="array" ref="M17">SUMPRODUCT(--ISNUMBER(SEARCH(";§"&amp;K17&amp;";",";"&amp;SUBSTITUTE('Survey 3 Papers'!$S$2:$S$500," ","")&amp;";")))</f>
        <v>15</v>
      </c>
      <c r="N17" t="str">
        <f t="shared" si="0"/>
        <v>OK</v>
      </c>
    </row>
    <row r="18" spans="1:14" x14ac:dyDescent="0.35">
      <c r="A18" s="51" t="s">
        <v>2175</v>
      </c>
      <c r="B18" t="s">
        <v>2667</v>
      </c>
      <c r="C18" cm="1">
        <f t="array" ref="C18">SUMPRODUCT(--ISNUMBER(SEARCH(" "&amp;A18&amp;" "," "&amp;SUBSTITUTE('Survey 1 Papers'!$U$2:$U$499,";"," ")&amp;" ")))</f>
        <v>5</v>
      </c>
      <c r="D18" t="str">
        <f t="shared" si="1"/>
        <v>OK</v>
      </c>
      <c r="F18" s="51" t="s">
        <v>2696</v>
      </c>
      <c r="G18" t="s">
        <v>2697</v>
      </c>
      <c r="H18" cm="1">
        <f t="array" ref="H18">SUMPRODUCT(--((ISNUMBER(SEARCH("§"&amp;F18&amp;".",'Survey 2 Papers'!$S$2:$S$500&amp;";"))+ISNUMBER(SEARCH("§"&amp;F18&amp;";",'Survey 2 Papers'!$S$2:$S$500&amp;";"))+ISNUMBER(SEARCH("§"&amp;F18&amp;" ",'Survey 2 Papers'!$S$2:$S$500&amp;";")))&gt;0))</f>
        <v>7</v>
      </c>
      <c r="I18" t="str">
        <f t="shared" si="2"/>
        <v>OK</v>
      </c>
      <c r="K18" s="34">
        <f>' Survey 3 Outline'!A16</f>
        <v>12</v>
      </c>
      <c r="L18" t="str">
        <f>' Survey 3 Outline'!B16</f>
        <v>Adaptive Computation, MoE &amp; Modality Routing (DEEP — core novelty)</v>
      </c>
      <c r="M18" cm="1">
        <f t="array" ref="M18">SUMPRODUCT(--ISNUMBER(SEARCH(";§"&amp;K18&amp;";",";"&amp;SUBSTITUTE('Survey 3 Papers'!$S$2:$S$500," ","")&amp;";")))</f>
        <v>12</v>
      </c>
      <c r="N18" t="str">
        <f t="shared" si="0"/>
        <v>OK</v>
      </c>
    </row>
    <row r="19" spans="1:14" x14ac:dyDescent="0.35">
      <c r="A19" s="51" t="s">
        <v>2185</v>
      </c>
      <c r="B19" t="s">
        <v>2668</v>
      </c>
      <c r="C19" cm="1">
        <f t="array" ref="C19">SUMPRODUCT(--ISNUMBER(SEARCH(" "&amp;A19&amp;" "," "&amp;SUBSTITUTE('Survey 1 Papers'!$U$2:$U$499,";"," ")&amp;" ")))</f>
        <v>6</v>
      </c>
      <c r="D19" t="str">
        <f t="shared" si="1"/>
        <v>OK</v>
      </c>
      <c r="F19" s="51" t="s">
        <v>2698</v>
      </c>
      <c r="G19" t="s">
        <v>2699</v>
      </c>
      <c r="H19" cm="1">
        <f t="array" ref="H19">SUMPRODUCT(--((ISNUMBER(SEARCH("§"&amp;F19&amp;".",'Survey 2 Papers'!$S$2:$S$500&amp;";"))+ISNUMBER(SEARCH("§"&amp;F19&amp;";",'Survey 2 Papers'!$S$2:$S$500&amp;";"))+ISNUMBER(SEARCH("§"&amp;F19&amp;" ",'Survey 2 Papers'!$S$2:$S$500&amp;";")))&gt;0))</f>
        <v>5</v>
      </c>
      <c r="I19" t="str">
        <f t="shared" si="2"/>
        <v>OK</v>
      </c>
      <c r="K19" s="34">
        <f>' Survey 3 Outline'!A17</f>
        <v>13</v>
      </c>
      <c r="L19" t="str">
        <f>' Survey 3 Outline'!B17</f>
        <v>Hardware, Benchmarks &amp; Mobile Manipulation</v>
      </c>
      <c r="M19" cm="1">
        <f t="array" ref="M19">SUMPRODUCT(--ISNUMBER(SEARCH(";§"&amp;K19&amp;";",";"&amp;SUBSTITUTE('Survey 3 Papers'!$S$2:$S$500," ","")&amp;";")))</f>
        <v>6</v>
      </c>
      <c r="N19" t="str">
        <f t="shared" si="0"/>
        <v>OK</v>
      </c>
    </row>
    <row r="20" spans="1:14" x14ac:dyDescent="0.35">
      <c r="A20" s="51" t="s">
        <v>2669</v>
      </c>
      <c r="B20" t="s">
        <v>2670</v>
      </c>
      <c r="C20" cm="1">
        <f t="array" ref="C20">SUMPRODUCT(--ISNUMBER(SEARCH(" "&amp;A20&amp;" "," "&amp;SUBSTITUTE('Survey 1 Papers'!$U$2:$U$499,";"," ")&amp;" ")))</f>
        <v>6</v>
      </c>
      <c r="D20" t="str">
        <f t="shared" si="1"/>
        <v>OK</v>
      </c>
      <c r="F20" s="51" t="s">
        <v>2700</v>
      </c>
      <c r="G20" t="s">
        <v>2701</v>
      </c>
      <c r="H20" cm="1">
        <f t="array" ref="H20">SUMPRODUCT(--((ISNUMBER(SEARCH("§"&amp;F20&amp;".",'Survey 2 Papers'!$S$2:$S$500&amp;";"))+ISNUMBER(SEARCH("§"&amp;F20&amp;";",'Survey 2 Papers'!$S$2:$S$500&amp;";"))+ISNUMBER(SEARCH("§"&amp;F20&amp;" ",'Survey 2 Papers'!$S$2:$S$500&amp;";")))&gt;0))</f>
        <v>9</v>
      </c>
      <c r="I20" t="str">
        <f t="shared" si="2"/>
        <v>OK</v>
      </c>
      <c r="K20" s="34">
        <f>' Survey 3 Outline'!A18</f>
        <v>14</v>
      </c>
      <c r="L20" t="str">
        <f>' Survey 3 Outline'!B18</f>
        <v>Open Challenges &amp; Future Directions</v>
      </c>
      <c r="M20" cm="1">
        <f t="array" ref="M20">SUMPRODUCT(--ISNUMBER(SEARCH(";§"&amp;K20&amp;";",";"&amp;SUBSTITUTE('Survey 3 Papers'!$S$2:$S$500," ","")&amp;";")))</f>
        <v>42</v>
      </c>
      <c r="N20" t="str">
        <f t="shared" si="0"/>
        <v>OK</v>
      </c>
    </row>
    <row r="21" spans="1:14" x14ac:dyDescent="0.35">
      <c r="A21" s="51" t="s">
        <v>2389</v>
      </c>
      <c r="B21" t="s">
        <v>2671</v>
      </c>
      <c r="C21" cm="1">
        <f t="array" ref="C21">SUMPRODUCT(--ISNUMBER(SEARCH(" "&amp;A21&amp;" "," "&amp;SUBSTITUTE('Survey 1 Papers'!$U$2:$U$499,";"," ")&amp;" ")))</f>
        <v>6</v>
      </c>
      <c r="D21" t="str">
        <f t="shared" si="1"/>
        <v>OK</v>
      </c>
      <c r="F21" s="51" t="s">
        <v>2702</v>
      </c>
      <c r="G21" t="s">
        <v>2703</v>
      </c>
      <c r="H21" cm="1">
        <f t="array" ref="H21">SUMPRODUCT(--((ISNUMBER(SEARCH("§"&amp;F21&amp;".",'Survey 2 Papers'!$S$2:$S$500&amp;";"))+ISNUMBER(SEARCH("§"&amp;F21&amp;";",'Survey 2 Papers'!$S$2:$S$500&amp;";"))+ISNUMBER(SEARCH("§"&amp;F21&amp;" ",'Survey 2 Papers'!$S$2:$S$500&amp;";")))&gt;0))</f>
        <v>2</v>
      </c>
      <c r="I21" t="str">
        <f t="shared" si="2"/>
        <v>⚠ Add papers</v>
      </c>
      <c r="K21" s="34">
        <f>' Survey 3 Outline'!A19</f>
        <v>15</v>
      </c>
      <c r="L21" t="str">
        <f>' Survey 3 Outline'!B19</f>
        <v>Conclusion</v>
      </c>
      <c r="M21" cm="1">
        <f t="array" ref="M21">SUMPRODUCT(--ISNUMBER(SEARCH(";§"&amp;K21&amp;";",";"&amp;SUBSTITUTE('Survey 3 Papers'!$S$2:$S$500," ","")&amp;";")))</f>
        <v>0</v>
      </c>
      <c r="N21" t="str">
        <f t="shared" si="0"/>
        <v>⚠ Add papers</v>
      </c>
    </row>
    <row r="22" spans="1:14" x14ac:dyDescent="0.35">
      <c r="A22" s="51" t="s">
        <v>2672</v>
      </c>
      <c r="B22" t="s">
        <v>2673</v>
      </c>
      <c r="C22" cm="1">
        <f t="array" ref="C22">SUMPRODUCT(--ISNUMBER(SEARCH(" "&amp;A22&amp;" "," "&amp;SUBSTITUTE('Survey 1 Papers'!$U$2:$U$499,";"," ")&amp;" ")))</f>
        <v>11</v>
      </c>
      <c r="D22" t="str">
        <f t="shared" si="1"/>
        <v>OK</v>
      </c>
      <c r="F22" s="51" t="s">
        <v>2704</v>
      </c>
      <c r="G22" t="s">
        <v>2705</v>
      </c>
      <c r="H22" cm="1">
        <f t="array" ref="H22">SUMPRODUCT(--((ISNUMBER(SEARCH("§"&amp;F22&amp;".",'Survey 2 Papers'!$S$2:$S$500&amp;";"))+ISNUMBER(SEARCH("§"&amp;F22&amp;";",'Survey 2 Papers'!$S$2:$S$500&amp;";"))+ISNUMBER(SEARCH("§"&amp;F22&amp;" ",'Survey 2 Papers'!$S$2:$S$500&amp;";")))&gt;0))</f>
        <v>6</v>
      </c>
      <c r="I22" t="str">
        <f t="shared" si="2"/>
        <v>OK</v>
      </c>
      <c r="K22" s="29"/>
      <c r="L22" s="29" t="s">
        <v>2723</v>
      </c>
      <c r="M22" s="29">
        <f>COUNTIF(N7:N21,"⚠*")</f>
        <v>2</v>
      </c>
    </row>
    <row r="23" spans="1:14" x14ac:dyDescent="0.35">
      <c r="A23" s="29"/>
      <c r="B23" s="29" t="s">
        <v>2723</v>
      </c>
      <c r="C23" s="29">
        <f>COUNTIF(D7:D22,"⚠*")</f>
        <v>0</v>
      </c>
      <c r="F23" s="51" t="s">
        <v>2706</v>
      </c>
      <c r="G23" t="s">
        <v>2707</v>
      </c>
      <c r="H23" cm="1">
        <f t="array" ref="H23">SUMPRODUCT(--((ISNUMBER(SEARCH("§"&amp;F23&amp;".",'Survey 2 Papers'!$S$2:$S$500&amp;";"))+ISNUMBER(SEARCH("§"&amp;F23&amp;";",'Survey 2 Papers'!$S$2:$S$500&amp;";"))+ISNUMBER(SEARCH("§"&amp;F23&amp;" ",'Survey 2 Papers'!$S$2:$S$500&amp;";")))&gt;0))</f>
        <v>3</v>
      </c>
      <c r="I23" t="str">
        <f t="shared" si="2"/>
        <v>⚠ Add papers</v>
      </c>
    </row>
    <row r="24" spans="1:14" x14ac:dyDescent="0.35">
      <c r="F24" s="51" t="s">
        <v>2708</v>
      </c>
      <c r="G24" t="s">
        <v>2709</v>
      </c>
      <c r="H24" cm="1">
        <f t="array" ref="H24">SUMPRODUCT(--((ISNUMBER(SEARCH("§"&amp;F24&amp;".",'Survey 2 Papers'!$S$2:$S$500&amp;";"))+ISNUMBER(SEARCH("§"&amp;F24&amp;";",'Survey 2 Papers'!$S$2:$S$500&amp;";"))+ISNUMBER(SEARCH("§"&amp;F24&amp;" ",'Survey 2 Papers'!$S$2:$S$500&amp;";")))&gt;0))</f>
        <v>2</v>
      </c>
      <c r="I24" t="str">
        <f t="shared" si="2"/>
        <v>⚠ Add papers</v>
      </c>
    </row>
    <row r="25" spans="1:14" x14ac:dyDescent="0.35">
      <c r="F25" s="51" t="s">
        <v>2710</v>
      </c>
      <c r="G25" t="s">
        <v>2711</v>
      </c>
      <c r="H25" cm="1">
        <f t="array" ref="H25">SUMPRODUCT(--((ISNUMBER(SEARCH("§"&amp;F25&amp;".",'Survey 2 Papers'!$S$2:$S$500&amp;";"))+ISNUMBER(SEARCH("§"&amp;F25&amp;";",'Survey 2 Papers'!$S$2:$S$500&amp;";"))+ISNUMBER(SEARCH("§"&amp;F25&amp;" ",'Survey 2 Papers'!$S$2:$S$500&amp;";")))&gt;0))</f>
        <v>3</v>
      </c>
      <c r="I25" t="str">
        <f t="shared" si="2"/>
        <v>⚠ Add papers</v>
      </c>
    </row>
    <row r="26" spans="1:14" x14ac:dyDescent="0.35">
      <c r="F26" s="51" t="s">
        <v>2712</v>
      </c>
      <c r="G26" t="s">
        <v>2713</v>
      </c>
      <c r="H26" cm="1">
        <f t="array" ref="H26">SUMPRODUCT(--((ISNUMBER(SEARCH("§"&amp;F26&amp;".",'Survey 2 Papers'!$S$2:$S$500&amp;";"))+ISNUMBER(SEARCH("§"&amp;F26&amp;";",'Survey 2 Papers'!$S$2:$S$500&amp;";"))+ISNUMBER(SEARCH("§"&amp;F26&amp;" ",'Survey 2 Papers'!$S$2:$S$500&amp;";")))&gt;0))</f>
        <v>5</v>
      </c>
      <c r="I26" t="str">
        <f t="shared" si="2"/>
        <v>OK</v>
      </c>
    </row>
    <row r="27" spans="1:14" x14ac:dyDescent="0.35">
      <c r="F27" s="51" t="s">
        <v>2714</v>
      </c>
      <c r="G27" t="s">
        <v>2715</v>
      </c>
      <c r="H27" cm="1">
        <f t="array" ref="H27">SUMPRODUCT(--((ISNUMBER(SEARCH("§"&amp;F27&amp;".",'Survey 2 Papers'!$S$2:$S$500&amp;";"))+ISNUMBER(SEARCH("§"&amp;F27&amp;";",'Survey 2 Papers'!$S$2:$S$500&amp;";"))+ISNUMBER(SEARCH("§"&amp;F27&amp;" ",'Survey 2 Papers'!$S$2:$S$500&amp;";")))&gt;0))</f>
        <v>4</v>
      </c>
      <c r="I27" t="str">
        <f t="shared" si="2"/>
        <v>⚠ Add papers</v>
      </c>
    </row>
    <row r="28" spans="1:14" x14ac:dyDescent="0.35">
      <c r="A28" s="57" t="s">
        <v>2948</v>
      </c>
      <c r="F28" s="51" t="s">
        <v>2716</v>
      </c>
      <c r="G28" t="s">
        <v>2717</v>
      </c>
      <c r="H28" cm="1">
        <f t="array" ref="H28">SUMPRODUCT(--((ISNUMBER(SEARCH("§"&amp;F28&amp;".",'Survey 2 Papers'!$S$2:$S$500&amp;";"))+ISNUMBER(SEARCH("§"&amp;F28&amp;";",'Survey 2 Papers'!$S$2:$S$500&amp;";"))+ISNUMBER(SEARCH("§"&amp;F28&amp;" ",'Survey 2 Papers'!$S$2:$S$500&amp;";")))&gt;0))</f>
        <v>1</v>
      </c>
      <c r="I28" t="str">
        <f t="shared" si="2"/>
        <v>⚠ Add papers</v>
      </c>
    </row>
    <row r="29" spans="1:14" x14ac:dyDescent="0.35">
      <c r="F29" s="51" t="s">
        <v>2718</v>
      </c>
      <c r="G29" t="s">
        <v>2719</v>
      </c>
      <c r="H29" cm="1">
        <f t="array" ref="H29">SUMPRODUCT(--((ISNUMBER(SEARCH("§"&amp;F29&amp;".",'Survey 2 Papers'!$S$2:$S$500&amp;";"))+ISNUMBER(SEARCH("§"&amp;F29&amp;";",'Survey 2 Papers'!$S$2:$S$500&amp;";"))+ISNUMBER(SEARCH("§"&amp;F29&amp;" ",'Survey 2 Papers'!$S$2:$S$500&amp;";")))&gt;0))</f>
        <v>7</v>
      </c>
      <c r="I29" t="str">
        <f t="shared" si="2"/>
        <v>OK</v>
      </c>
    </row>
    <row r="30" spans="1:14" x14ac:dyDescent="0.35">
      <c r="F30" s="51" t="s">
        <v>2720</v>
      </c>
      <c r="G30" t="s">
        <v>2721</v>
      </c>
      <c r="H30" cm="1">
        <f t="array" ref="H30">SUMPRODUCT(--((ISNUMBER(SEARCH("§"&amp;F30&amp;".",'Survey 2 Papers'!$S$2:$S$500&amp;";"))+ISNUMBER(SEARCH("§"&amp;F30&amp;";",'Survey 2 Papers'!$S$2:$S$500&amp;";"))+ISNUMBER(SEARCH("§"&amp;F30&amp;" ",'Survey 2 Papers'!$S$2:$S$500&amp;";")))&gt;0))</f>
        <v>0</v>
      </c>
      <c r="I30" t="str">
        <f t="shared" si="2"/>
        <v>⚠ Add papers</v>
      </c>
    </row>
    <row r="31" spans="1:14" x14ac:dyDescent="0.35">
      <c r="F31" s="51" t="s">
        <v>2722</v>
      </c>
      <c r="G31" t="s">
        <v>402</v>
      </c>
      <c r="H31" cm="1">
        <f t="array" ref="H31">SUMPRODUCT(--((ISNUMBER(SEARCH("§"&amp;F31&amp;".",'Survey 2 Papers'!$S$2:$S$500&amp;";"))+ISNUMBER(SEARCH("§"&amp;F31&amp;";",'Survey 2 Papers'!$S$2:$S$500&amp;";"))+ISNUMBER(SEARCH("§"&amp;F31&amp;" ",'Survey 2 Papers'!$S$2:$S$500&amp;";")))&gt;0))</f>
        <v>0</v>
      </c>
      <c r="I31" t="str">
        <f t="shared" si="2"/>
        <v>⚠ Add papers</v>
      </c>
    </row>
    <row r="32" spans="1:14" x14ac:dyDescent="0.35">
      <c r="F32" s="29"/>
      <c r="G32" s="29" t="s">
        <v>2723</v>
      </c>
      <c r="H32" s="29">
        <f>COUNTIF(I7:I31,"⚠*")</f>
        <v>11</v>
      </c>
    </row>
  </sheetData>
  <conditionalFormatting sqref="D7:D22">
    <cfRule type="beginsWith" dxfId="2" priority="2" operator="beginsWith" text="⚠">
      <formula>LEFT(D7,LEN("⚠"))="⚠"</formula>
    </cfRule>
  </conditionalFormatting>
  <conditionalFormatting sqref="I7:I31">
    <cfRule type="beginsWith" dxfId="1" priority="3" operator="beginsWith" text="⚠">
      <formula>LEFT(I7,LEN("⚠"))="⚠"</formula>
    </cfRule>
  </conditionalFormatting>
  <conditionalFormatting sqref="N7:N22">
    <cfRule type="beginsWith" dxfId="0" priority="1" operator="beginsWith" text="⚠">
      <formula>LEFT(N7,LEN("⚠"))="⚠"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Survey Outline</vt:lpstr>
      <vt:lpstr>Survey 2 Outline</vt:lpstr>
      <vt:lpstr> Survey 3 Outline</vt:lpstr>
      <vt:lpstr>journel and conference list</vt:lpstr>
      <vt:lpstr>Paper References</vt:lpstr>
      <vt:lpstr>quantum_computing_Papers</vt:lpstr>
      <vt:lpstr>llm</vt:lpstr>
      <vt:lpstr>Survey 1 Papers</vt:lpstr>
      <vt:lpstr>Survey 2 Papers</vt:lpstr>
      <vt:lpstr>Survey 3 Papers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yeshwanth guru</cp:lastModifiedBy>
  <dcterms:created xsi:type="dcterms:W3CDTF">2026-09-05T05:38:50Z</dcterms:created>
  <dcterms:modified xsi:type="dcterms:W3CDTF">2026-09-30T17:24:58Z</dcterms:modified>
</cp:coreProperties>
</file>